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fo\PycharmProjects\World Cup Simulator\data\"/>
    </mc:Choice>
  </mc:AlternateContent>
  <xr:revisionPtr revIDLastSave="0" documentId="13_ncr:1_{EFFC6735-72FB-43DB-A1C9-0FA52768DD9B}" xr6:coauthVersionLast="47" xr6:coauthVersionMax="47" xr10:uidLastSave="{00000000-0000-0000-0000-000000000000}"/>
  <bookViews>
    <workbookView xWindow="-108" yWindow="-108" windowWidth="23256" windowHeight="12456" tabRatio="845" xr2:uid="{68DCC07B-8028-445C-A4D9-26CF199FA37F}"/>
  </bookViews>
  <sheets>
    <sheet name="Teams by Confederation" sheetId="4" r:id="rId1"/>
    <sheet name="Teams Qualified Template" sheetId="3" r:id="rId2"/>
    <sheet name="Groups Template" sheetId="1" r:id="rId3"/>
    <sheet name="KO Template" sheetId="14" r:id="rId4"/>
    <sheet name="Teams Qualified Offcial 2026" sheetId="23" r:id="rId5"/>
    <sheet name="Groups Official 2026" sheetId="2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5" i="4" l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K56" i="4"/>
  <c r="AL56" i="4" s="1"/>
  <c r="AK55" i="4"/>
  <c r="AH56" i="4"/>
  <c r="AH55" i="4"/>
  <c r="AF55" i="4"/>
  <c r="AF56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X15" i="4"/>
  <c r="AV15" i="4"/>
  <c r="AN20" i="4"/>
  <c r="AN21" i="4"/>
  <c r="AN22" i="4" s="1"/>
  <c r="AN23" i="4" s="1"/>
  <c r="AN24" i="4" s="1"/>
  <c r="AN25" i="4" s="1"/>
  <c r="AN26" i="4" s="1"/>
  <c r="AN27" i="4" s="1"/>
  <c r="AN28" i="4" s="1"/>
  <c r="AN29" i="4" s="1"/>
  <c r="AN30" i="4" s="1"/>
  <c r="AN31" i="4" s="1"/>
  <c r="AN32" i="4" s="1"/>
  <c r="AN33" i="4" s="1"/>
  <c r="AN34" i="4" s="1"/>
  <c r="AN35" i="4" s="1"/>
  <c r="AN36" i="4" s="1"/>
  <c r="AN37" i="4" s="1"/>
  <c r="AN38" i="4" s="1"/>
  <c r="AN39" i="4" s="1"/>
  <c r="AN40" i="4" s="1"/>
  <c r="AN41" i="4" s="1"/>
  <c r="AN42" i="4" s="1"/>
  <c r="AN43" i="4" s="1"/>
  <c r="AN44" i="4" s="1"/>
  <c r="AN45" i="4" s="1"/>
  <c r="AN46" i="4" s="1"/>
  <c r="Q53" i="23"/>
  <c r="Q52" i="23"/>
  <c r="Q51" i="23"/>
  <c r="Q50" i="23"/>
  <c r="Q49" i="23"/>
  <c r="Q48" i="23"/>
  <c r="Q47" i="23"/>
  <c r="Q46" i="23"/>
  <c r="Q45" i="23"/>
  <c r="Q44" i="23"/>
  <c r="Q43" i="23"/>
  <c r="Q42" i="23"/>
  <c r="Q41" i="23"/>
  <c r="Q40" i="23"/>
  <c r="Q39" i="23"/>
  <c r="Q38" i="23"/>
  <c r="Q37" i="23"/>
  <c r="Q36" i="23"/>
  <c r="Q35" i="23"/>
  <c r="Q34" i="23"/>
  <c r="Q33" i="23"/>
  <c r="Q32" i="23"/>
  <c r="Q31" i="23"/>
  <c r="Q30" i="23"/>
  <c r="Q29" i="23"/>
  <c r="AA28" i="23"/>
  <c r="X28" i="23"/>
  <c r="Q28" i="23"/>
  <c r="J28" i="23"/>
  <c r="AA27" i="23"/>
  <c r="X27" i="23"/>
  <c r="Q27" i="23"/>
  <c r="J27" i="23"/>
  <c r="AA26" i="23"/>
  <c r="X26" i="23"/>
  <c r="Q26" i="23"/>
  <c r="J26" i="23"/>
  <c r="AA25" i="23"/>
  <c r="X25" i="23"/>
  <c r="Q25" i="23"/>
  <c r="J25" i="23"/>
  <c r="AA24" i="23"/>
  <c r="X24" i="23"/>
  <c r="Q24" i="23"/>
  <c r="J24" i="23"/>
  <c r="AA23" i="23"/>
  <c r="X23" i="23"/>
  <c r="Q23" i="23"/>
  <c r="J23" i="23"/>
  <c r="AA22" i="23"/>
  <c r="X22" i="23"/>
  <c r="Q22" i="23"/>
  <c r="AA21" i="23"/>
  <c r="X21" i="23"/>
  <c r="Q21" i="23"/>
  <c r="AA20" i="23"/>
  <c r="X20" i="23"/>
  <c r="Q20" i="23"/>
  <c r="AA19" i="23"/>
  <c r="X19" i="23"/>
  <c r="Q19" i="23"/>
  <c r="AA18" i="23"/>
  <c r="X18" i="23"/>
  <c r="Q18" i="23"/>
  <c r="AA17" i="23"/>
  <c r="X17" i="23"/>
  <c r="Q17" i="23"/>
  <c r="N17" i="23"/>
  <c r="Q16" i="23"/>
  <c r="N16" i="23"/>
  <c r="Q15" i="23"/>
  <c r="N15" i="23"/>
  <c r="H15" i="23"/>
  <c r="H16" i="23" s="1"/>
  <c r="H17" i="23" s="1"/>
  <c r="Q14" i="23"/>
  <c r="Q13" i="23"/>
  <c r="Q12" i="23"/>
  <c r="Q11" i="23"/>
  <c r="N8" i="23"/>
  <c r="N7" i="23"/>
  <c r="Q6" i="23"/>
  <c r="N6" i="23"/>
  <c r="H6" i="23"/>
  <c r="H7" i="23" s="1"/>
  <c r="H8" i="23" s="1"/>
  <c r="Q5" i="23"/>
  <c r="Q4" i="23"/>
  <c r="Q3" i="23"/>
  <c r="Q2" i="23"/>
  <c r="Q1" i="23"/>
  <c r="D38" i="24"/>
  <c r="B38" i="24"/>
  <c r="D37" i="24"/>
  <c r="B37" i="24"/>
  <c r="D36" i="24"/>
  <c r="C36" i="24"/>
  <c r="B36" i="24"/>
  <c r="D35" i="24"/>
  <c r="B35" i="24"/>
  <c r="D34" i="24"/>
  <c r="B34" i="24"/>
  <c r="D33" i="24"/>
  <c r="B33" i="24"/>
  <c r="D32" i="24"/>
  <c r="B32" i="24"/>
  <c r="D31" i="24"/>
  <c r="B31" i="24"/>
  <c r="D30" i="24"/>
  <c r="B30" i="24"/>
  <c r="D29" i="24"/>
  <c r="B29" i="24"/>
  <c r="D28" i="24"/>
  <c r="B28" i="24"/>
  <c r="D27" i="24"/>
  <c r="C27" i="24"/>
  <c r="B27" i="24"/>
  <c r="AH23" i="24"/>
  <c r="Y23" i="24"/>
  <c r="P23" i="24"/>
  <c r="G23" i="24"/>
  <c r="AH22" i="24"/>
  <c r="C38" i="24" s="1"/>
  <c r="AB22" i="24"/>
  <c r="AB23" i="24" s="1"/>
  <c r="Y22" i="24"/>
  <c r="C37" i="24" s="1"/>
  <c r="P22" i="24"/>
  <c r="G22" i="24"/>
  <c r="C35" i="24" s="1"/>
  <c r="AH21" i="24"/>
  <c r="AB21" i="24"/>
  <c r="Y21" i="24"/>
  <c r="S21" i="24"/>
  <c r="S22" i="24" s="1"/>
  <c r="S23" i="24" s="1"/>
  <c r="P21" i="24"/>
  <c r="J21" i="24"/>
  <c r="J22" i="24" s="1"/>
  <c r="J23" i="24" s="1"/>
  <c r="G21" i="24"/>
  <c r="A21" i="24"/>
  <c r="A22" i="24" s="1"/>
  <c r="A23" i="24" s="1"/>
  <c r="AH20" i="24"/>
  <c r="AB20" i="24"/>
  <c r="Y20" i="24"/>
  <c r="S20" i="24"/>
  <c r="P20" i="24"/>
  <c r="J20" i="24"/>
  <c r="G20" i="24"/>
  <c r="A20" i="24"/>
  <c r="AH14" i="24"/>
  <c r="Y14" i="24"/>
  <c r="P14" i="24"/>
  <c r="G14" i="24"/>
  <c r="AH13" i="24"/>
  <c r="C34" i="24" s="1"/>
  <c r="Y13" i="24"/>
  <c r="C33" i="24" s="1"/>
  <c r="P13" i="24"/>
  <c r="C32" i="24" s="1"/>
  <c r="J13" i="24"/>
  <c r="J14" i="24" s="1"/>
  <c r="G13" i="24"/>
  <c r="C31" i="24" s="1"/>
  <c r="A13" i="24"/>
  <c r="A14" i="24" s="1"/>
  <c r="AH12" i="24"/>
  <c r="Y12" i="24"/>
  <c r="P12" i="24"/>
  <c r="J12" i="24"/>
  <c r="G12" i="24"/>
  <c r="A12" i="24"/>
  <c r="AH11" i="24"/>
  <c r="AB11" i="24"/>
  <c r="AB12" i="24" s="1"/>
  <c r="AB13" i="24" s="1"/>
  <c r="AB14" i="24" s="1"/>
  <c r="Y11" i="24"/>
  <c r="S11" i="24"/>
  <c r="S12" i="24" s="1"/>
  <c r="S13" i="24" s="1"/>
  <c r="S14" i="24" s="1"/>
  <c r="P11" i="24"/>
  <c r="J11" i="24"/>
  <c r="G11" i="24"/>
  <c r="A11" i="24"/>
  <c r="AH6" i="24"/>
  <c r="Y6" i="24"/>
  <c r="P6" i="24"/>
  <c r="G6" i="24"/>
  <c r="AH5" i="24"/>
  <c r="C30" i="24" s="1"/>
  <c r="Y5" i="24"/>
  <c r="C29" i="24" s="1"/>
  <c r="P5" i="24"/>
  <c r="C28" i="24" s="1"/>
  <c r="G5" i="24"/>
  <c r="AH4" i="24"/>
  <c r="AB4" i="24"/>
  <c r="AB5" i="24" s="1"/>
  <c r="AB6" i="24" s="1"/>
  <c r="Y4" i="24"/>
  <c r="S4" i="24"/>
  <c r="S5" i="24" s="1"/>
  <c r="S6" i="24" s="1"/>
  <c r="P4" i="24"/>
  <c r="G4" i="24"/>
  <c r="AH3" i="24"/>
  <c r="AB3" i="24"/>
  <c r="Y3" i="24"/>
  <c r="S3" i="24"/>
  <c r="P3" i="24"/>
  <c r="J3" i="24"/>
  <c r="J4" i="24" s="1"/>
  <c r="J5" i="24" s="1"/>
  <c r="J6" i="24" s="1"/>
  <c r="G3" i="24"/>
  <c r="A3" i="24"/>
  <c r="A4" i="24" s="1"/>
  <c r="A5" i="24" s="1"/>
  <c r="A6" i="24" s="1"/>
  <c r="BF3" i="4"/>
  <c r="BF4" i="4"/>
  <c r="BF2" i="4"/>
  <c r="AX3" i="4"/>
  <c r="BA3" i="4" s="1"/>
  <c r="AX6" i="4"/>
  <c r="BA6" i="4" s="1"/>
  <c r="BB6" i="4" s="1"/>
  <c r="AX4" i="4"/>
  <c r="BA4" i="4" s="1"/>
  <c r="AX5" i="4"/>
  <c r="AX8" i="4"/>
  <c r="BA8" i="4" s="1"/>
  <c r="AX7" i="4"/>
  <c r="BA7" i="4" s="1"/>
  <c r="BB7" i="4" s="1"/>
  <c r="AX12" i="4"/>
  <c r="BA12" i="4" s="1"/>
  <c r="BB12" i="4" s="1"/>
  <c r="AX10" i="4"/>
  <c r="AX9" i="4"/>
  <c r="AX11" i="4"/>
  <c r="AX13" i="4"/>
  <c r="AX14" i="4"/>
  <c r="BA14" i="4" s="1"/>
  <c r="BB14" i="4" s="1"/>
  <c r="AX2" i="4"/>
  <c r="BA2" i="4" s="1"/>
  <c r="Z3" i="4"/>
  <c r="Z4" i="4"/>
  <c r="AC4" i="4" s="1"/>
  <c r="Z5" i="4"/>
  <c r="AC5" i="4" s="1"/>
  <c r="Z6" i="4"/>
  <c r="Z8" i="4"/>
  <c r="Z9" i="4"/>
  <c r="AC9" i="4" s="1"/>
  <c r="Z7" i="4"/>
  <c r="Z10" i="4"/>
  <c r="Z12" i="4"/>
  <c r="AC12" i="4" s="1"/>
  <c r="Z11" i="4"/>
  <c r="Z13" i="4"/>
  <c r="Z17" i="4"/>
  <c r="AC17" i="4" s="1"/>
  <c r="Z14" i="4"/>
  <c r="Z20" i="4"/>
  <c r="AC20" i="4" s="1"/>
  <c r="Z15" i="4"/>
  <c r="Z19" i="4"/>
  <c r="AC19" i="4" s="1"/>
  <c r="Z23" i="4"/>
  <c r="AC23" i="4" s="1"/>
  <c r="Z22" i="4"/>
  <c r="Z18" i="4"/>
  <c r="Z16" i="4"/>
  <c r="AC16" i="4" s="1"/>
  <c r="Z21" i="4"/>
  <c r="Z26" i="4"/>
  <c r="AC26" i="4" s="1"/>
  <c r="Z25" i="4"/>
  <c r="Z27" i="4"/>
  <c r="AC27" i="4" s="1"/>
  <c r="Z24" i="4"/>
  <c r="AC24" i="4" s="1"/>
  <c r="Z28" i="4"/>
  <c r="AC28" i="4" s="1"/>
  <c r="Z32" i="4"/>
  <c r="AC32" i="4" s="1"/>
  <c r="Z31" i="4"/>
  <c r="AC31" i="4" s="1"/>
  <c r="Z29" i="4"/>
  <c r="AC29" i="4" s="1"/>
  <c r="Z36" i="4"/>
  <c r="Z30" i="4"/>
  <c r="Z37" i="4"/>
  <c r="AC37" i="4" s="1"/>
  <c r="Z35" i="4"/>
  <c r="Z33" i="4"/>
  <c r="AC33" i="4" s="1"/>
  <c r="Z40" i="4"/>
  <c r="AC40" i="4" s="1"/>
  <c r="Z34" i="4"/>
  <c r="AC34" i="4" s="1"/>
  <c r="Z38" i="4"/>
  <c r="Z39" i="4"/>
  <c r="AC39" i="4" s="1"/>
  <c r="Z42" i="4"/>
  <c r="AC42" i="4" s="1"/>
  <c r="Z41" i="4"/>
  <c r="Z43" i="4"/>
  <c r="AC43" i="4" s="1"/>
  <c r="Z44" i="4"/>
  <c r="AC44" i="4" s="1"/>
  <c r="Z45" i="4"/>
  <c r="Z47" i="4"/>
  <c r="Z46" i="4"/>
  <c r="AC46" i="4" s="1"/>
  <c r="Z49" i="4"/>
  <c r="Z48" i="4"/>
  <c r="Z50" i="4"/>
  <c r="AC50" i="4" s="1"/>
  <c r="Z51" i="4"/>
  <c r="Z52" i="4"/>
  <c r="AC52" i="4" s="1"/>
  <c r="Z53" i="4"/>
  <c r="AC53" i="4" s="1"/>
  <c r="Z54" i="4"/>
  <c r="Z55" i="4"/>
  <c r="AC55" i="4" s="1"/>
  <c r="Z56" i="4"/>
  <c r="AC56" i="4" s="1"/>
  <c r="Z2" i="4"/>
  <c r="AC2" i="4" s="1"/>
  <c r="R4" i="4"/>
  <c r="U4" i="4" s="1"/>
  <c r="R3" i="4"/>
  <c r="U3" i="4" s="1"/>
  <c r="R5" i="4"/>
  <c r="R6" i="4"/>
  <c r="U6" i="4" s="1"/>
  <c r="R7" i="4"/>
  <c r="U7" i="4" s="1"/>
  <c r="R8" i="4"/>
  <c r="U8" i="4" s="1"/>
  <c r="R11" i="4"/>
  <c r="U11" i="4" s="1"/>
  <c r="R9" i="4"/>
  <c r="U9" i="4" s="1"/>
  <c r="R10" i="4"/>
  <c r="U10" i="4" s="1"/>
  <c r="R2" i="4"/>
  <c r="U2" i="4" s="1"/>
  <c r="J3" i="4"/>
  <c r="M3" i="4" s="1"/>
  <c r="J4" i="4"/>
  <c r="M4" i="4" s="1"/>
  <c r="J5" i="4"/>
  <c r="M5" i="4" s="1"/>
  <c r="J6" i="4"/>
  <c r="M6" i="4" s="1"/>
  <c r="J7" i="4"/>
  <c r="M7" i="4" s="1"/>
  <c r="J8" i="4"/>
  <c r="M8" i="4" s="1"/>
  <c r="J11" i="4"/>
  <c r="M11" i="4" s="1"/>
  <c r="J9" i="4"/>
  <c r="J10" i="4"/>
  <c r="M10" i="4" s="1"/>
  <c r="J12" i="4"/>
  <c r="J13" i="4"/>
  <c r="J14" i="4"/>
  <c r="J16" i="4"/>
  <c r="M16" i="4" s="1"/>
  <c r="J15" i="4"/>
  <c r="J20" i="4"/>
  <c r="J17" i="4"/>
  <c r="M17" i="4" s="1"/>
  <c r="J19" i="4"/>
  <c r="M19" i="4" s="1"/>
  <c r="J21" i="4"/>
  <c r="M21" i="4" s="1"/>
  <c r="J18" i="4"/>
  <c r="M18" i="4" s="1"/>
  <c r="J23" i="4"/>
  <c r="M23" i="4" s="1"/>
  <c r="J22" i="4"/>
  <c r="J24" i="4"/>
  <c r="J27" i="4"/>
  <c r="J28" i="4"/>
  <c r="M28" i="4" s="1"/>
  <c r="J25" i="4"/>
  <c r="M25" i="4" s="1"/>
  <c r="J26" i="4"/>
  <c r="M26" i="4" s="1"/>
  <c r="J29" i="4"/>
  <c r="M29" i="4" s="1"/>
  <c r="J30" i="4"/>
  <c r="M30" i="4" s="1"/>
  <c r="N30" i="4" s="1"/>
  <c r="J31" i="4"/>
  <c r="M31" i="4" s="1"/>
  <c r="N31" i="4" s="1"/>
  <c r="J32" i="4"/>
  <c r="M32" i="4" s="1"/>
  <c r="J33" i="4"/>
  <c r="M33" i="4" s="1"/>
  <c r="J34" i="4"/>
  <c r="M34" i="4" s="1"/>
  <c r="N34" i="4" s="1"/>
  <c r="J35" i="4"/>
  <c r="J36" i="4"/>
  <c r="J37" i="4"/>
  <c r="J38" i="4"/>
  <c r="M38" i="4" s="1"/>
  <c r="N38" i="4" s="1"/>
  <c r="J39" i="4"/>
  <c r="M39" i="4" s="1"/>
  <c r="N39" i="4" s="1"/>
  <c r="J2" i="4"/>
  <c r="M2" i="4" s="1"/>
  <c r="AP2" i="4"/>
  <c r="AP3" i="4"/>
  <c r="AS3" i="4" s="1"/>
  <c r="AP4" i="4"/>
  <c r="AS4" i="4" s="1"/>
  <c r="AP6" i="4"/>
  <c r="AP5" i="4"/>
  <c r="AP10" i="4"/>
  <c r="AS10" i="4" s="1"/>
  <c r="AP8" i="4"/>
  <c r="AS8" i="4" s="1"/>
  <c r="AP9" i="4"/>
  <c r="AP7" i="4"/>
  <c r="AP11" i="4"/>
  <c r="AP12" i="4"/>
  <c r="AS12" i="4" s="1"/>
  <c r="AP13" i="4"/>
  <c r="AP14" i="4"/>
  <c r="AS14" i="4" s="1"/>
  <c r="AP15" i="4"/>
  <c r="AS15" i="4" s="1"/>
  <c r="AP16" i="4"/>
  <c r="AS16" i="4" s="1"/>
  <c r="AP17" i="4"/>
  <c r="AS17" i="4" s="1"/>
  <c r="AS19" i="4"/>
  <c r="AH2" i="4"/>
  <c r="AH3" i="4"/>
  <c r="AK3" i="4" s="1"/>
  <c r="AH5" i="4"/>
  <c r="AK5" i="4" s="1"/>
  <c r="AH4" i="4"/>
  <c r="AK4" i="4" s="1"/>
  <c r="AH6" i="4"/>
  <c r="AH7" i="4"/>
  <c r="AK7" i="4" s="1"/>
  <c r="AH9" i="4"/>
  <c r="AK9" i="4" s="1"/>
  <c r="AH10" i="4"/>
  <c r="AH12" i="4"/>
  <c r="AK12" i="4" s="1"/>
  <c r="AH14" i="4"/>
  <c r="AK14" i="4" s="1"/>
  <c r="AH11" i="4"/>
  <c r="AK11" i="4" s="1"/>
  <c r="AH15" i="4"/>
  <c r="AK15" i="4" s="1"/>
  <c r="AH8" i="4"/>
  <c r="AH16" i="4"/>
  <c r="AK16" i="4" s="1"/>
  <c r="AH23" i="4"/>
  <c r="AK23" i="4" s="1"/>
  <c r="AH13" i="4"/>
  <c r="AK13" i="4" s="1"/>
  <c r="AH20" i="4"/>
  <c r="AK20" i="4" s="1"/>
  <c r="AH17" i="4"/>
  <c r="AK17" i="4" s="1"/>
  <c r="AH21" i="4"/>
  <c r="AH18" i="4"/>
  <c r="AK18" i="4" s="1"/>
  <c r="AH32" i="4"/>
  <c r="AK32" i="4" s="1"/>
  <c r="AH24" i="4"/>
  <c r="AK24" i="4" s="1"/>
  <c r="AH30" i="4"/>
  <c r="AK30" i="4" s="1"/>
  <c r="AH27" i="4"/>
  <c r="AK27" i="4" s="1"/>
  <c r="AH38" i="4"/>
  <c r="AH22" i="4"/>
  <c r="AK22" i="4" s="1"/>
  <c r="AH25" i="4"/>
  <c r="AK25" i="4" s="1"/>
  <c r="AH33" i="4"/>
  <c r="AK33" i="4" s="1"/>
  <c r="AH26" i="4"/>
  <c r="AK26" i="4" s="1"/>
  <c r="AH41" i="4"/>
  <c r="AK41" i="4" s="1"/>
  <c r="AH35" i="4"/>
  <c r="AK35" i="4" s="1"/>
  <c r="AH19" i="4"/>
  <c r="AK19" i="4" s="1"/>
  <c r="AH29" i="4"/>
  <c r="AK29" i="4" s="1"/>
  <c r="AH31" i="4"/>
  <c r="AK31" i="4" s="1"/>
  <c r="AH39" i="4"/>
  <c r="AK39" i="4" s="1"/>
  <c r="AH34" i="4"/>
  <c r="AK34" i="4" s="1"/>
  <c r="AH43" i="4"/>
  <c r="AK43" i="4" s="1"/>
  <c r="AH44" i="4"/>
  <c r="AK44" i="4" s="1"/>
  <c r="AH28" i="4"/>
  <c r="AH37" i="4"/>
  <c r="AK37" i="4" s="1"/>
  <c r="AH36" i="4"/>
  <c r="AK36" i="4" s="1"/>
  <c r="AH46" i="4"/>
  <c r="AK46" i="4" s="1"/>
  <c r="AH42" i="4"/>
  <c r="AK42" i="4" s="1"/>
  <c r="AH45" i="4"/>
  <c r="AK45" i="4" s="1"/>
  <c r="AH40" i="4"/>
  <c r="AK40" i="4" s="1"/>
  <c r="AH48" i="4"/>
  <c r="AK48" i="4" s="1"/>
  <c r="AH47" i="4"/>
  <c r="AK47" i="4" s="1"/>
  <c r="AH50" i="4"/>
  <c r="AK50" i="4" s="1"/>
  <c r="AH49" i="4"/>
  <c r="AK49" i="4" s="1"/>
  <c r="AH52" i="4"/>
  <c r="AK52" i="4" s="1"/>
  <c r="AH51" i="4"/>
  <c r="AK51" i="4" s="1"/>
  <c r="AH53" i="4"/>
  <c r="AK53" i="4" s="1"/>
  <c r="AH54" i="4"/>
  <c r="AK54" i="4" s="1"/>
  <c r="AL55" i="4"/>
  <c r="A180" i="4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51" i="4"/>
  <c r="A52" i="4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50" i="4"/>
  <c r="A41" i="4"/>
  <c r="A42" i="4" s="1"/>
  <c r="A43" i="4" s="1"/>
  <c r="A44" i="4" s="1"/>
  <c r="A45" i="4" s="1"/>
  <c r="A46" i="4" s="1"/>
  <c r="A47" i="4" s="1"/>
  <c r="A48" i="4" s="1"/>
  <c r="A49" i="4" s="1"/>
  <c r="A40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2" i="4"/>
  <c r="BA13" i="4"/>
  <c r="BB13" i="4" s="1"/>
  <c r="BA10" i="4"/>
  <c r="BB10" i="4" s="1"/>
  <c r="BA11" i="4"/>
  <c r="BB11" i="4" s="1"/>
  <c r="M35" i="4"/>
  <c r="N35" i="4" s="1"/>
  <c r="M36" i="4"/>
  <c r="N36" i="4" s="1"/>
  <c r="M37" i="4"/>
  <c r="N37" i="4" s="1"/>
  <c r="BD2" i="4"/>
  <c r="BD3" i="4" s="1"/>
  <c r="BD4" i="4" s="1"/>
  <c r="BA9" i="4"/>
  <c r="BB9" i="4" s="1"/>
  <c r="BA5" i="4"/>
  <c r="BB5" i="4" s="1"/>
  <c r="AS18" i="4"/>
  <c r="AC3" i="4"/>
  <c r="AC10" i="4"/>
  <c r="AC6" i="4"/>
  <c r="AC8" i="4"/>
  <c r="AC7" i="4"/>
  <c r="AC13" i="4"/>
  <c r="AC14" i="4"/>
  <c r="AC11" i="4"/>
  <c r="AC15" i="4"/>
  <c r="AC22" i="4"/>
  <c r="AC21" i="4"/>
  <c r="AC18" i="4"/>
  <c r="AC25" i="4"/>
  <c r="AC35" i="4"/>
  <c r="AC36" i="4"/>
  <c r="AC30" i="4"/>
  <c r="AC38" i="4"/>
  <c r="AC41" i="4"/>
  <c r="AC49" i="4"/>
  <c r="AC45" i="4"/>
  <c r="AC47" i="4"/>
  <c r="AC48" i="4"/>
  <c r="AC51" i="4"/>
  <c r="AC54" i="4"/>
  <c r="U5" i="4"/>
  <c r="AK38" i="4"/>
  <c r="AK21" i="4"/>
  <c r="AK8" i="4"/>
  <c r="AK10" i="4"/>
  <c r="AK6" i="4"/>
  <c r="AK28" i="4"/>
  <c r="AK2" i="4"/>
  <c r="M27" i="4"/>
  <c r="M20" i="4"/>
  <c r="M15" i="4"/>
  <c r="M14" i="4"/>
  <c r="M13" i="4"/>
  <c r="M12" i="4"/>
  <c r="M9" i="4"/>
  <c r="M24" i="4"/>
  <c r="M22" i="4"/>
  <c r="B38" i="1"/>
  <c r="B37" i="1"/>
  <c r="B36" i="1"/>
  <c r="B35" i="1"/>
  <c r="B34" i="1"/>
  <c r="B33" i="1"/>
  <c r="C38" i="1"/>
  <c r="C37" i="1"/>
  <c r="C36" i="1"/>
  <c r="C35" i="1"/>
  <c r="C34" i="1"/>
  <c r="C33" i="1"/>
  <c r="D38" i="1"/>
  <c r="D37" i="1"/>
  <c r="D36" i="1"/>
  <c r="D35" i="1"/>
  <c r="D34" i="1"/>
  <c r="D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D27" i="1"/>
  <c r="C27" i="1"/>
  <c r="B28" i="1"/>
  <c r="B27" i="1"/>
  <c r="Q13" i="3"/>
  <c r="AA18" i="3"/>
  <c r="AA19" i="3"/>
  <c r="AA20" i="3"/>
  <c r="AA21" i="3"/>
  <c r="AA22" i="3"/>
  <c r="AA23" i="3"/>
  <c r="AA24" i="3"/>
  <c r="AA25" i="3"/>
  <c r="AA26" i="3"/>
  <c r="AA27" i="3"/>
  <c r="AA28" i="3"/>
  <c r="AA17" i="3"/>
  <c r="X27" i="3"/>
  <c r="X25" i="3"/>
  <c r="X19" i="3"/>
  <c r="X24" i="3"/>
  <c r="X26" i="3"/>
  <c r="X28" i="3"/>
  <c r="X17" i="3"/>
  <c r="X22" i="3"/>
  <c r="X20" i="3"/>
  <c r="X21" i="3"/>
  <c r="X23" i="3"/>
  <c r="X18" i="3"/>
  <c r="Q4" i="3"/>
  <c r="AB4" i="1"/>
  <c r="AB5" i="1"/>
  <c r="AB6" i="1" s="1"/>
  <c r="AB12" i="1"/>
  <c r="AB13" i="1"/>
  <c r="AB14" i="1" s="1"/>
  <c r="AB21" i="1"/>
  <c r="AB22" i="1" s="1"/>
  <c r="AB23" i="1" s="1"/>
  <c r="S21" i="1"/>
  <c r="S22" i="1" s="1"/>
  <c r="S23" i="1" s="1"/>
  <c r="S12" i="1"/>
  <c r="S13" i="1" s="1"/>
  <c r="S14" i="1" s="1"/>
  <c r="S4" i="1"/>
  <c r="S5" i="1" s="1"/>
  <c r="S6" i="1" s="1"/>
  <c r="J4" i="1"/>
  <c r="J5" i="1" s="1"/>
  <c r="J6" i="1" s="1"/>
  <c r="J12" i="1"/>
  <c r="J13" i="1"/>
  <c r="J14" i="1" s="1"/>
  <c r="J21" i="1"/>
  <c r="J22" i="1" s="1"/>
  <c r="J23" i="1" s="1"/>
  <c r="A21" i="1"/>
  <c r="A22" i="1"/>
  <c r="A23" i="1" s="1"/>
  <c r="A12" i="1"/>
  <c r="A13" i="1" s="1"/>
  <c r="A14" i="1" s="1"/>
  <c r="A4" i="1"/>
  <c r="A5" i="1" s="1"/>
  <c r="A6" i="1" s="1"/>
  <c r="AB3" i="1"/>
  <c r="AB11" i="1"/>
  <c r="AB20" i="1"/>
  <c r="S20" i="1"/>
  <c r="S11" i="1"/>
  <c r="S3" i="1"/>
  <c r="J3" i="1"/>
  <c r="J11" i="1"/>
  <c r="J20" i="1"/>
  <c r="A20" i="1"/>
  <c r="A11" i="1"/>
  <c r="A3" i="1"/>
  <c r="H15" i="3"/>
  <c r="H16" i="3" s="1"/>
  <c r="H17" i="3" s="1"/>
  <c r="H6" i="3"/>
  <c r="H7" i="3" s="1"/>
  <c r="H8" i="3" s="1"/>
  <c r="AH4" i="1"/>
  <c r="AH5" i="1"/>
  <c r="AH6" i="1"/>
  <c r="AH12" i="1"/>
  <c r="AH13" i="1"/>
  <c r="AH14" i="1"/>
  <c r="AH21" i="1"/>
  <c r="AH22" i="1"/>
  <c r="AH23" i="1"/>
  <c r="Y21" i="1"/>
  <c r="Y22" i="1"/>
  <c r="Y23" i="1"/>
  <c r="Y12" i="1"/>
  <c r="Y13" i="1"/>
  <c r="Y14" i="1"/>
  <c r="Y4" i="1"/>
  <c r="Y5" i="1"/>
  <c r="Y6" i="1"/>
  <c r="P4" i="1"/>
  <c r="P5" i="1"/>
  <c r="P6" i="1"/>
  <c r="P12" i="1"/>
  <c r="P13" i="1"/>
  <c r="P14" i="1"/>
  <c r="P21" i="1"/>
  <c r="P22" i="1"/>
  <c r="P23" i="1"/>
  <c r="G21" i="1"/>
  <c r="G22" i="1"/>
  <c r="G23" i="1"/>
  <c r="G12" i="1"/>
  <c r="G13" i="1"/>
  <c r="G14" i="1"/>
  <c r="AH3" i="1"/>
  <c r="AH11" i="1"/>
  <c r="AH20" i="1"/>
  <c r="Y20" i="1"/>
  <c r="Y11" i="1"/>
  <c r="Y3" i="1"/>
  <c r="P3" i="1"/>
  <c r="P11" i="1"/>
  <c r="P20" i="1"/>
  <c r="G20" i="1"/>
  <c r="G11" i="1"/>
  <c r="G4" i="1"/>
  <c r="G5" i="1"/>
  <c r="G6" i="1"/>
  <c r="G3" i="1"/>
  <c r="N16" i="3"/>
  <c r="N17" i="3"/>
  <c r="N15" i="3"/>
  <c r="N7" i="3"/>
  <c r="N8" i="3"/>
  <c r="N6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J28" i="3"/>
  <c r="Q27" i="3"/>
  <c r="J27" i="3"/>
  <c r="Q26" i="3"/>
  <c r="J26" i="3"/>
  <c r="Q25" i="3"/>
  <c r="J25" i="3"/>
  <c r="Q24" i="3"/>
  <c r="J24" i="3"/>
  <c r="Q23" i="3"/>
  <c r="J23" i="3"/>
  <c r="Q22" i="3"/>
  <c r="Q21" i="3"/>
  <c r="Q20" i="3"/>
  <c r="Q19" i="3"/>
  <c r="Q18" i="3"/>
  <c r="Q17" i="3"/>
  <c r="Q16" i="3"/>
  <c r="Q15" i="3"/>
  <c r="Q14" i="3"/>
  <c r="Q12" i="3"/>
  <c r="Q11" i="3"/>
  <c r="Q6" i="3"/>
  <c r="Q5" i="3"/>
  <c r="Q3" i="3"/>
  <c r="Q2" i="3"/>
  <c r="Q1" i="3"/>
  <c r="V11" i="4" l="1"/>
  <c r="V7" i="4"/>
  <c r="V8" i="4"/>
  <c r="V6" i="4"/>
  <c r="V10" i="4"/>
  <c r="V5" i="4"/>
  <c r="V2" i="4"/>
  <c r="V9" i="4"/>
  <c r="V4" i="4"/>
  <c r="AD7" i="4"/>
  <c r="AD28" i="4"/>
  <c r="AD32" i="4"/>
  <c r="AD44" i="4"/>
  <c r="AD45" i="4"/>
  <c r="AD13" i="4"/>
  <c r="AD47" i="4"/>
  <c r="AD10" i="4"/>
  <c r="AD46" i="4"/>
  <c r="AD11" i="4"/>
  <c r="AD37" i="4"/>
  <c r="AD33" i="4"/>
  <c r="AD19" i="4"/>
  <c r="AD23" i="4"/>
  <c r="AD29" i="4"/>
  <c r="AD8" i="4"/>
  <c r="AD3" i="4"/>
  <c r="AD2" i="4"/>
  <c r="AD14" i="4"/>
  <c r="AD12" i="4"/>
  <c r="AD36" i="4"/>
  <c r="AD26" i="4"/>
  <c r="AD49" i="4"/>
  <c r="AD24" i="4"/>
  <c r="AD50" i="4"/>
  <c r="AD43" i="4"/>
  <c r="AD31" i="4"/>
  <c r="AD16" i="4"/>
  <c r="AD51" i="4"/>
  <c r="AD20" i="4"/>
  <c r="AD41" i="4"/>
  <c r="AD39" i="4"/>
  <c r="AD34" i="4"/>
  <c r="AD53" i="4"/>
  <c r="AD38" i="4"/>
  <c r="AD5" i="4"/>
  <c r="AD9" i="4"/>
  <c r="AD18" i="4"/>
  <c r="AD22" i="4"/>
  <c r="AD54" i="4"/>
  <c r="AD52" i="4"/>
  <c r="AD21" i="4"/>
  <c r="AD6" i="4"/>
  <c r="AD4" i="4"/>
  <c r="AD48" i="4"/>
  <c r="AD30" i="4"/>
  <c r="AD42" i="4"/>
  <c r="AD25" i="4"/>
  <c r="AD35" i="4"/>
  <c r="AD55" i="4"/>
  <c r="AD17" i="4"/>
  <c r="AD56" i="4"/>
  <c r="AD40" i="4"/>
  <c r="AD27" i="4"/>
  <c r="AD15" i="4"/>
  <c r="AL49" i="4"/>
  <c r="AL40" i="4"/>
  <c r="AL14" i="4"/>
  <c r="AL8" i="4"/>
  <c r="AL12" i="4"/>
  <c r="AL31" i="4"/>
  <c r="AL28" i="4"/>
  <c r="AL22" i="4"/>
  <c r="AL9" i="4"/>
  <c r="AL7" i="4"/>
  <c r="AL11" i="4"/>
  <c r="AL54" i="4"/>
  <c r="AL36" i="4"/>
  <c r="AL6" i="4"/>
  <c r="AL53" i="4"/>
  <c r="AL34" i="4"/>
  <c r="AL21" i="4"/>
  <c r="AL5" i="4"/>
  <c r="AL24" i="4"/>
  <c r="AL51" i="4"/>
  <c r="AL32" i="4"/>
  <c r="AL47" i="4"/>
  <c r="AL26" i="4"/>
  <c r="AL45" i="4"/>
  <c r="AL3" i="4"/>
  <c r="AL10" i="4"/>
  <c r="AL19" i="4"/>
  <c r="AL20" i="4"/>
  <c r="AL16" i="4"/>
  <c r="AL2" i="4"/>
  <c r="AL29" i="4"/>
  <c r="AL13" i="4"/>
  <c r="AL18" i="4"/>
  <c r="AL27" i="4"/>
  <c r="AL15" i="4"/>
  <c r="AL39" i="4"/>
  <c r="AL4" i="4"/>
  <c r="AL52" i="4"/>
  <c r="AL48" i="4"/>
  <c r="AT17" i="4"/>
  <c r="AS11" i="4"/>
  <c r="AT11" i="4" s="1"/>
  <c r="AS7" i="4"/>
  <c r="AT7" i="4" s="1"/>
  <c r="AS13" i="4"/>
  <c r="AT13" i="4" s="1"/>
  <c r="AT18" i="4"/>
  <c r="AS9" i="4"/>
  <c r="AT9" i="4" s="1"/>
  <c r="AT10" i="4"/>
  <c r="AT8" i="4"/>
  <c r="AS2" i="4"/>
  <c r="AT2" i="4" s="1"/>
  <c r="AT12" i="4"/>
  <c r="AS6" i="4"/>
  <c r="AT6" i="4" s="1"/>
  <c r="AS5" i="4"/>
  <c r="AT5" i="4" s="1"/>
  <c r="AT14" i="4"/>
  <c r="AT19" i="4"/>
  <c r="AT4" i="4"/>
  <c r="AT3" i="4"/>
  <c r="AT16" i="4"/>
  <c r="AT15" i="4"/>
  <c r="N2" i="4"/>
  <c r="N15" i="4"/>
  <c r="N24" i="4"/>
  <c r="N22" i="4"/>
  <c r="N5" i="4"/>
  <c r="N21" i="4"/>
  <c r="N3" i="4"/>
  <c r="N29" i="4"/>
  <c r="N8" i="4"/>
  <c r="N14" i="4"/>
  <c r="N33" i="4"/>
  <c r="N19" i="4"/>
  <c r="N32" i="4"/>
  <c r="N26" i="4"/>
  <c r="N6" i="4"/>
  <c r="N18" i="4"/>
  <c r="N28" i="4"/>
  <c r="N4" i="4"/>
  <c r="N17" i="4"/>
  <c r="N12" i="4"/>
  <c r="N7" i="4"/>
  <c r="N25" i="4"/>
  <c r="N23" i="4"/>
  <c r="N11" i="4"/>
  <c r="N27" i="4"/>
  <c r="N13" i="4"/>
  <c r="N20" i="4"/>
  <c r="N10" i="4"/>
  <c r="N9" i="4"/>
  <c r="N16" i="4"/>
  <c r="V3" i="4"/>
  <c r="AL23" i="4"/>
  <c r="AL43" i="4"/>
  <c r="AL37" i="4"/>
  <c r="AL42" i="4"/>
  <c r="AL46" i="4"/>
  <c r="AL50" i="4"/>
  <c r="AL38" i="4"/>
  <c r="AL25" i="4"/>
  <c r="AL30" i="4"/>
  <c r="AL44" i="4"/>
  <c r="AL33" i="4"/>
  <c r="AL41" i="4"/>
  <c r="AL35" i="4"/>
  <c r="AL17" i="4"/>
  <c r="BB8" i="4"/>
  <c r="BB3" i="4"/>
  <c r="BB4" i="4"/>
  <c r="BB2" i="4"/>
  <c r="AV2" i="4"/>
  <c r="P2" i="4" l="1"/>
  <c r="AF2" i="4"/>
  <c r="AF3" i="4" l="1"/>
  <c r="H2" i="4"/>
  <c r="H3" i="4" s="1"/>
  <c r="H4" i="4" s="1"/>
  <c r="H5" i="4" s="1"/>
  <c r="H6" i="4" s="1"/>
  <c r="H7" i="4" s="1"/>
  <c r="H8" i="4" s="1"/>
  <c r="AN2" i="4"/>
  <c r="P3" i="4"/>
  <c r="P4" i="4" s="1"/>
  <c r="P5" i="4" s="1"/>
  <c r="P6" i="4" s="1"/>
  <c r="P7" i="4" s="1"/>
  <c r="P8" i="4" s="1"/>
  <c r="P9" i="4" s="1"/>
  <c r="P10" i="4" s="1"/>
  <c r="P11" i="4" s="1"/>
  <c r="X2" i="4"/>
  <c r="X3" i="4" s="1"/>
  <c r="X4" i="4" s="1"/>
  <c r="X5" i="4" s="1"/>
  <c r="X6" i="4" s="1"/>
  <c r="AN3" i="4" l="1"/>
  <c r="AV3" i="4"/>
  <c r="AV4" i="4" s="1"/>
  <c r="AV5" i="4" s="1"/>
  <c r="AV6" i="4" s="1"/>
  <c r="AV7" i="4" s="1"/>
  <c r="AV8" i="4" s="1"/>
  <c r="AV9" i="4" s="1"/>
  <c r="AV10" i="4" s="1"/>
  <c r="AV11" i="4" s="1"/>
  <c r="AV12" i="4" s="1"/>
  <c r="AV13" i="4" s="1"/>
  <c r="AV14" i="4" s="1"/>
  <c r="AN4" i="4"/>
  <c r="AN5" i="4" s="1"/>
  <c r="AN6" i="4" s="1"/>
  <c r="AN7" i="4" s="1"/>
  <c r="AN8" i="4" s="1"/>
  <c r="AN9" i="4" s="1"/>
  <c r="AN10" i="4" s="1"/>
  <c r="AN11" i="4" s="1"/>
  <c r="AN12" i="4" s="1"/>
  <c r="AN13" i="4" s="1"/>
  <c r="AN14" i="4" s="1"/>
  <c r="AN15" i="4" s="1"/>
  <c r="AN16" i="4" s="1"/>
  <c r="AN17" i="4" s="1"/>
  <c r="AN18" i="4" s="1"/>
  <c r="AN19" i="4" s="1"/>
  <c r="H9" i="4"/>
  <c r="H10" i="4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</calcChain>
</file>

<file path=xl/sharedStrings.xml><?xml version="1.0" encoding="utf-8"?>
<sst xmlns="http://schemas.openxmlformats.org/spreadsheetml/2006/main" count="1264" uniqueCount="305">
  <si>
    <t>Team</t>
  </si>
  <si>
    <t>PTS</t>
  </si>
  <si>
    <t>W</t>
  </si>
  <si>
    <t>D</t>
  </si>
  <si>
    <t>L</t>
  </si>
  <si>
    <t>GP</t>
  </si>
  <si>
    <t>Group A</t>
  </si>
  <si>
    <t>Mexico</t>
  </si>
  <si>
    <t>Group B</t>
  </si>
  <si>
    <t>Group C</t>
  </si>
  <si>
    <t>Group D</t>
  </si>
  <si>
    <t>Group E</t>
  </si>
  <si>
    <t>Group F</t>
  </si>
  <si>
    <t>Group G</t>
  </si>
  <si>
    <t>Group H</t>
  </si>
  <si>
    <t>Group I</t>
  </si>
  <si>
    <t>Group J</t>
  </si>
  <si>
    <t>Group K</t>
  </si>
  <si>
    <t>Group L</t>
  </si>
  <si>
    <t>Canada</t>
  </si>
  <si>
    <t>USA</t>
  </si>
  <si>
    <t>A2</t>
  </si>
  <si>
    <t>B2</t>
  </si>
  <si>
    <t>E1</t>
  </si>
  <si>
    <t>F1</t>
  </si>
  <si>
    <t>C2</t>
  </si>
  <si>
    <t>C1</t>
  </si>
  <si>
    <t>F2</t>
  </si>
  <si>
    <t>I1</t>
  </si>
  <si>
    <t>E2</t>
  </si>
  <si>
    <t>I2</t>
  </si>
  <si>
    <t>A1</t>
  </si>
  <si>
    <t>L1</t>
  </si>
  <si>
    <t>D1</t>
  </si>
  <si>
    <t>G1</t>
  </si>
  <si>
    <t>K2</t>
  </si>
  <si>
    <t>L2</t>
  </si>
  <si>
    <t>H1</t>
  </si>
  <si>
    <t>J2</t>
  </si>
  <si>
    <t>B1</t>
  </si>
  <si>
    <t>J1</t>
  </si>
  <si>
    <t>H2</t>
  </si>
  <si>
    <t>K1</t>
  </si>
  <si>
    <t>D2</t>
  </si>
  <si>
    <t>G2</t>
  </si>
  <si>
    <t>x</t>
  </si>
  <si>
    <t>3rd Place Final</t>
  </si>
  <si>
    <t>World Cup Final</t>
  </si>
  <si>
    <t>CONCACAF</t>
  </si>
  <si>
    <t>3+3</t>
  </si>
  <si>
    <t>CONMEBOL</t>
  </si>
  <si>
    <t>UEFA</t>
  </si>
  <si>
    <t>CAF</t>
  </si>
  <si>
    <t>AFC</t>
  </si>
  <si>
    <t>OFC</t>
  </si>
  <si>
    <t>St-Vincent Gren</t>
  </si>
  <si>
    <t>ODDS</t>
  </si>
  <si>
    <t>Results</t>
  </si>
  <si>
    <t>Honduras</t>
  </si>
  <si>
    <t>Cuba</t>
  </si>
  <si>
    <t>Cayman Isles</t>
  </si>
  <si>
    <t>Antigua Barbuda</t>
  </si>
  <si>
    <t>Bermuda</t>
  </si>
  <si>
    <t>Costa Rica</t>
  </si>
  <si>
    <t>St Kitts Nevis</t>
  </si>
  <si>
    <t>Bahamas</t>
  </si>
  <si>
    <t>Nicaragua</t>
  </si>
  <si>
    <t>Panama</t>
  </si>
  <si>
    <t>Guyana</t>
  </si>
  <si>
    <t>Montserrat</t>
  </si>
  <si>
    <t>Belize</t>
  </si>
  <si>
    <t>Guatemala</t>
  </si>
  <si>
    <t>Jamaica</t>
  </si>
  <si>
    <t>Dominican Rep</t>
  </si>
  <si>
    <t xml:space="preserve">Dominica </t>
  </si>
  <si>
    <t>Britsh Vigin Isles</t>
  </si>
  <si>
    <t>Haiti</t>
  </si>
  <si>
    <t>St Lucia</t>
  </si>
  <si>
    <t>Aruba</t>
  </si>
  <si>
    <t>Barbados</t>
  </si>
  <si>
    <t>Grenada</t>
  </si>
  <si>
    <t>Trinidad Tobago</t>
  </si>
  <si>
    <t>Suriname</t>
  </si>
  <si>
    <t>Puerto Rico</t>
  </si>
  <si>
    <t>Salvador</t>
  </si>
  <si>
    <t>Anguilla</t>
  </si>
  <si>
    <t>Curacao</t>
  </si>
  <si>
    <t>Argentina</t>
  </si>
  <si>
    <t>Colombia</t>
  </si>
  <si>
    <t>Uruguay</t>
  </si>
  <si>
    <t>Brazil</t>
  </si>
  <si>
    <t>Ecuador</t>
  </si>
  <si>
    <t>Paraguay</t>
  </si>
  <si>
    <t>Bolivia</t>
  </si>
  <si>
    <t>Venezuela</t>
  </si>
  <si>
    <t>Peru</t>
  </si>
  <si>
    <t>Chile</t>
  </si>
  <si>
    <t>France</t>
  </si>
  <si>
    <t>Spain</t>
  </si>
  <si>
    <t>England</t>
  </si>
  <si>
    <t>Belgium</t>
  </si>
  <si>
    <t>Netherlands</t>
  </si>
  <si>
    <t>Portugal</t>
  </si>
  <si>
    <t>Italy</t>
  </si>
  <si>
    <t>Croatia</t>
  </si>
  <si>
    <t>Germany</t>
  </si>
  <si>
    <t>Switzerland</t>
  </si>
  <si>
    <t>Denmark</t>
  </si>
  <si>
    <t>Austria</t>
  </si>
  <si>
    <t>Ukraine</t>
  </si>
  <si>
    <t>Turkiye</t>
  </si>
  <si>
    <t>Sweden</t>
  </si>
  <si>
    <t>Wales</t>
  </si>
  <si>
    <t>Poland</t>
  </si>
  <si>
    <t>Hungary</t>
  </si>
  <si>
    <t>Russia</t>
  </si>
  <si>
    <t>Serbia</t>
  </si>
  <si>
    <t>Slovakia</t>
  </si>
  <si>
    <t>Romania</t>
  </si>
  <si>
    <t>Czechia</t>
  </si>
  <si>
    <t>Norway</t>
  </si>
  <si>
    <t>Greece</t>
  </si>
  <si>
    <t>Slovenia</t>
  </si>
  <si>
    <t>Scotland</t>
  </si>
  <si>
    <t>Ireland</t>
  </si>
  <si>
    <t>Finland</t>
  </si>
  <si>
    <t>Georgia</t>
  </si>
  <si>
    <t>Albania</t>
  </si>
  <si>
    <t>Iceland</t>
  </si>
  <si>
    <t>Macedonia</t>
  </si>
  <si>
    <t>North Ireland</t>
  </si>
  <si>
    <t>Montenegro</t>
  </si>
  <si>
    <t>Bosnia</t>
  </si>
  <si>
    <t>Israel</t>
  </si>
  <si>
    <t>Bulgaria</t>
  </si>
  <si>
    <t>Luxembourg</t>
  </si>
  <si>
    <t>Armenia</t>
  </si>
  <si>
    <t>Belarus</t>
  </si>
  <si>
    <t>Kosovo</t>
  </si>
  <si>
    <t>Kazakhstan</t>
  </si>
  <si>
    <t>Azerbaijan</t>
  </si>
  <si>
    <t>Estonia</t>
  </si>
  <si>
    <t>Cyprus</t>
  </si>
  <si>
    <t>Latvia</t>
  </si>
  <si>
    <t>Lithuania</t>
  </si>
  <si>
    <t>Moldova</t>
  </si>
  <si>
    <t>Faroe Islands</t>
  </si>
  <si>
    <t>Malta</t>
  </si>
  <si>
    <t>Gibraltar</t>
  </si>
  <si>
    <t>San Marino</t>
  </si>
  <si>
    <t>Liechtenstein</t>
  </si>
  <si>
    <t>Morocco</t>
  </si>
  <si>
    <t>Senegal</t>
  </si>
  <si>
    <t>Egypt</t>
  </si>
  <si>
    <t>Côte d'Ivoire</t>
  </si>
  <si>
    <t>Tunisia</t>
  </si>
  <si>
    <t>Nigeria</t>
  </si>
  <si>
    <t>Algeria</t>
  </si>
  <si>
    <t>Cameroon</t>
  </si>
  <si>
    <t>Mali</t>
  </si>
  <si>
    <t>South Africa</t>
  </si>
  <si>
    <t>Burkina Faso</t>
  </si>
  <si>
    <t>Cabo Verde</t>
  </si>
  <si>
    <t>Ghana</t>
  </si>
  <si>
    <t>Guinea</t>
  </si>
  <si>
    <t>Gabon</t>
  </si>
  <si>
    <t>Angola</t>
  </si>
  <si>
    <t>Benin</t>
  </si>
  <si>
    <t>Uganda</t>
  </si>
  <si>
    <t>Zambia</t>
  </si>
  <si>
    <t>Equat. Guinea</t>
  </si>
  <si>
    <t>Mozambique</t>
  </si>
  <si>
    <t>Kenya</t>
  </si>
  <si>
    <t>Namibia</t>
  </si>
  <si>
    <t>Madagascar</t>
  </si>
  <si>
    <t>Tanzania</t>
  </si>
  <si>
    <t>Mauritania</t>
  </si>
  <si>
    <t>Guinea-Bissau</t>
  </si>
  <si>
    <t>Congo</t>
  </si>
  <si>
    <t>Comoros</t>
  </si>
  <si>
    <t>Togo</t>
  </si>
  <si>
    <t>Sudan</t>
  </si>
  <si>
    <t>Libya</t>
  </si>
  <si>
    <t>Zimbabwe</t>
  </si>
  <si>
    <t>Sierra Leone</t>
  </si>
  <si>
    <t>Niger</t>
  </si>
  <si>
    <t>Cent. Afr. Rep.</t>
  </si>
  <si>
    <t>Rwanda</t>
  </si>
  <si>
    <t>Malawi</t>
  </si>
  <si>
    <t>Gambia</t>
  </si>
  <si>
    <t>Burundi</t>
  </si>
  <si>
    <t>Liberia</t>
  </si>
  <si>
    <t>Ethiopia</t>
  </si>
  <si>
    <t>Bostwana</t>
  </si>
  <si>
    <t>Lesotho</t>
  </si>
  <si>
    <t>Eswatini</t>
  </si>
  <si>
    <t>South Sudan</t>
  </si>
  <si>
    <t>Chad</t>
  </si>
  <si>
    <t>Mauritius</t>
  </si>
  <si>
    <t>Sao &amp; Principe</t>
  </si>
  <si>
    <t>Djibouti</t>
  </si>
  <si>
    <t>Seychelles</t>
  </si>
  <si>
    <t>Somalia</t>
  </si>
  <si>
    <t>Iran</t>
  </si>
  <si>
    <t>Uzbekistan</t>
  </si>
  <si>
    <t>UAE</t>
  </si>
  <si>
    <t>Qatar</t>
  </si>
  <si>
    <t>Kyrgyzstan</t>
  </si>
  <si>
    <t>North Korea</t>
  </si>
  <si>
    <t>South Korea</t>
  </si>
  <si>
    <t>Jordan</t>
  </si>
  <si>
    <t>Iraq</t>
  </si>
  <si>
    <t>Oman</t>
  </si>
  <si>
    <t>Kuwait</t>
  </si>
  <si>
    <t>Palestine</t>
  </si>
  <si>
    <t>Japan</t>
  </si>
  <si>
    <t>Australia</t>
  </si>
  <si>
    <t>Saudi Arabia</t>
  </si>
  <si>
    <t>Bahrain</t>
  </si>
  <si>
    <t>Indonesia</t>
  </si>
  <si>
    <t>China</t>
  </si>
  <si>
    <t>New Caledonia</t>
  </si>
  <si>
    <t>Fiji</t>
  </si>
  <si>
    <t>Vanuatu</t>
  </si>
  <si>
    <t>New Zealand</t>
  </si>
  <si>
    <t>Solomon Islands</t>
  </si>
  <si>
    <t>Papua Guinea</t>
  </si>
  <si>
    <t>Samoa</t>
  </si>
  <si>
    <t>Tahiti</t>
  </si>
  <si>
    <t>Teams</t>
  </si>
  <si>
    <t>A</t>
  </si>
  <si>
    <t>B</t>
  </si>
  <si>
    <t>C</t>
  </si>
  <si>
    <t>G</t>
  </si>
  <si>
    <t>E</t>
  </si>
  <si>
    <t>F</t>
  </si>
  <si>
    <t>H</t>
  </si>
  <si>
    <t>I</t>
  </si>
  <si>
    <t>J</t>
  </si>
  <si>
    <t>K</t>
  </si>
  <si>
    <t>X</t>
  </si>
  <si>
    <t>A-B-C-D-F</t>
  </si>
  <si>
    <t>C-D-F-G-H</t>
  </si>
  <si>
    <t>C-E-F-H-I</t>
  </si>
  <si>
    <t>E-H-I-J-K</t>
  </si>
  <si>
    <t>B-E-F-I-J</t>
  </si>
  <si>
    <t>A-E-H-I-J</t>
  </si>
  <si>
    <t>E-F-G-I-J</t>
  </si>
  <si>
    <t>D-E-I-J-L</t>
  </si>
  <si>
    <t>FIFA</t>
  </si>
  <si>
    <t>ELO</t>
  </si>
  <si>
    <t>Modif</t>
  </si>
  <si>
    <t xml:space="preserve">Last ELO update: </t>
  </si>
  <si>
    <t>Andorra</t>
  </si>
  <si>
    <t>DR Congo</t>
  </si>
  <si>
    <t xml:space="preserve">Last FIFA update: </t>
  </si>
  <si>
    <t>j</t>
  </si>
  <si>
    <t>i</t>
  </si>
  <si>
    <t>g</t>
  </si>
  <si>
    <t>d</t>
  </si>
  <si>
    <t>Martinique</t>
  </si>
  <si>
    <t>Guadeloupe</t>
  </si>
  <si>
    <t>French Guyana</t>
  </si>
  <si>
    <t>St Martin</t>
  </si>
  <si>
    <t>St Maarten</t>
  </si>
  <si>
    <t>Bonaire</t>
  </si>
  <si>
    <t>Turks &amp; Caicos</t>
  </si>
  <si>
    <t>Zanzibar</t>
  </si>
  <si>
    <t>Eritrea</t>
  </si>
  <si>
    <t>Tuvalu</t>
  </si>
  <si>
    <t>Cook Isles</t>
  </si>
  <si>
    <t>Kiribati</t>
  </si>
  <si>
    <t>Tonga</t>
  </si>
  <si>
    <t>East Samoa</t>
  </si>
  <si>
    <t>US Virgin Isles</t>
  </si>
  <si>
    <t>Syria</t>
  </si>
  <si>
    <t>Thailand</t>
  </si>
  <si>
    <t>Vietnam</t>
  </si>
  <si>
    <t>Tadjikistan</t>
  </si>
  <si>
    <t>Lebanon</t>
  </si>
  <si>
    <t>India</t>
  </si>
  <si>
    <t>Malaysia</t>
  </si>
  <si>
    <t>Turkmenistan</t>
  </si>
  <si>
    <t>Yemen</t>
  </si>
  <si>
    <t>Singapore</t>
  </si>
  <si>
    <t>Honk Kong</t>
  </si>
  <si>
    <t>Myanmar</t>
  </si>
  <si>
    <t>Afghanistan</t>
  </si>
  <si>
    <t>Maldives</t>
  </si>
  <si>
    <t>Taipei</t>
  </si>
  <si>
    <t>Cambodia</t>
  </si>
  <si>
    <t>Nepal</t>
  </si>
  <si>
    <t>Bangladesh</t>
  </si>
  <si>
    <t>Laos</t>
  </si>
  <si>
    <t>Sri Lanka</t>
  </si>
  <si>
    <t>Mongolia</t>
  </si>
  <si>
    <t>Bhutan</t>
  </si>
  <si>
    <t>Pakistan</t>
  </si>
  <si>
    <t>Macau</t>
  </si>
  <si>
    <t>Guam</t>
  </si>
  <si>
    <t>Timor-Leste</t>
  </si>
  <si>
    <t>Am. Samoa</t>
  </si>
  <si>
    <t>Philippines</t>
  </si>
  <si>
    <t>Ivory Coast</t>
  </si>
  <si>
    <t>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</si>
</sst>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4" xfId="0" applyBorder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3CE3-3324-4049-88D9-71B512371CC2}">
  <dimension ref="A1:BH221"/>
  <sheetViews>
    <sheetView tabSelected="1" workbookViewId="0">
      <selection activeCell="G7" sqref="G7"/>
    </sheetView>
  </sheetViews>
  <sheetFormatPr baseColWidth="10" defaultColWidth="8.88671875" defaultRowHeight="14.4" x14ac:dyDescent="0.3"/>
  <cols>
    <col min="1" max="1" width="4.33203125" style="6" customWidth="1"/>
    <col min="2" max="2" width="13.5546875" style="6" customWidth="1"/>
    <col min="3" max="3" width="8.21875" style="6" customWidth="1"/>
    <col min="4" max="4" width="6.77734375" style="6" customWidth="1"/>
    <col min="5" max="5" width="6.33203125" style="6" customWidth="1"/>
    <col min="6" max="7" width="8.88671875" style="6"/>
    <col min="8" max="8" width="3.5546875" style="6" customWidth="1"/>
    <col min="9" max="9" width="13.5546875" style="6" customWidth="1"/>
    <col min="10" max="10" width="8.21875" style="6" customWidth="1"/>
    <col min="11" max="11" width="6.77734375" style="6" customWidth="1"/>
    <col min="12" max="12" width="6.33203125" style="6" customWidth="1"/>
    <col min="13" max="13" width="7.6640625" style="6" customWidth="1"/>
    <col min="14" max="14" width="10.21875" style="6" customWidth="1"/>
    <col min="15" max="15" width="13.5546875" style="6" customWidth="1"/>
    <col min="16" max="16" width="3.44140625" style="6" customWidth="1"/>
    <col min="17" max="17" width="13.5546875" style="6" customWidth="1"/>
    <col min="18" max="18" width="7.77734375" style="6" customWidth="1"/>
    <col min="19" max="19" width="7.33203125" style="6" customWidth="1"/>
    <col min="20" max="20" width="6.109375" style="6" customWidth="1"/>
    <col min="21" max="21" width="6.6640625" style="6" customWidth="1"/>
    <col min="22" max="22" width="10.21875" style="6" customWidth="1"/>
    <col min="23" max="23" width="14" style="6" customWidth="1"/>
    <col min="24" max="24" width="3.5546875" style="6" customWidth="1"/>
    <col min="25" max="25" width="13.5546875" style="6" customWidth="1"/>
    <col min="26" max="26" width="7.77734375" style="6" customWidth="1"/>
    <col min="27" max="27" width="7" style="6" customWidth="1"/>
    <col min="28" max="28" width="6.33203125" style="6" customWidth="1"/>
    <col min="29" max="29" width="7.6640625" style="6" customWidth="1"/>
    <col min="30" max="30" width="10.21875" style="6" customWidth="1"/>
    <col min="31" max="31" width="13.44140625" style="6" customWidth="1"/>
    <col min="32" max="32" width="3.5546875" style="6" customWidth="1"/>
    <col min="33" max="33" width="13.5546875" style="6" customWidth="1"/>
    <col min="34" max="34" width="7.88671875" style="6" customWidth="1"/>
    <col min="35" max="36" width="6.77734375" style="6" customWidth="1"/>
    <col min="37" max="37" width="5.6640625" style="6" customWidth="1"/>
    <col min="38" max="38" width="10.21875" style="6" customWidth="1"/>
    <col min="39" max="39" width="13.5546875" style="6" customWidth="1"/>
    <col min="40" max="40" width="3.5546875" style="6" customWidth="1"/>
    <col min="41" max="41" width="13.44140625" style="6" customWidth="1"/>
    <col min="42" max="42" width="7.77734375" style="6" customWidth="1"/>
    <col min="43" max="43" width="7.109375" style="6" customWidth="1"/>
    <col min="44" max="44" width="6.5546875" style="6" customWidth="1"/>
    <col min="45" max="45" width="5.6640625" style="6" customWidth="1"/>
    <col min="46" max="46" width="7.21875" style="6" customWidth="1"/>
    <col min="47" max="47" width="13.5546875" style="6" customWidth="1"/>
    <col min="48" max="48" width="3.5546875" style="6" customWidth="1"/>
    <col min="49" max="49" width="13.5546875" style="6" customWidth="1"/>
    <col min="50" max="50" width="7.6640625" style="6" customWidth="1"/>
    <col min="51" max="51" width="6.77734375" style="6" customWidth="1"/>
    <col min="52" max="52" width="6.6640625" style="6" customWidth="1"/>
    <col min="53" max="53" width="5.5546875" style="6" customWidth="1"/>
    <col min="54" max="54" width="10.21875" style="6" customWidth="1"/>
    <col min="55" max="55" width="8.88671875" style="6"/>
    <col min="56" max="56" width="3.5546875" style="6" customWidth="1"/>
    <col min="57" max="57" width="13.5546875" style="6" customWidth="1"/>
    <col min="58" max="58" width="8.21875" style="6" customWidth="1"/>
    <col min="59" max="59" width="6.77734375" style="6" customWidth="1"/>
    <col min="60" max="60" width="6.33203125" style="6" customWidth="1"/>
    <col min="61" max="16384" width="8.88671875" style="6"/>
  </cols>
  <sheetData>
    <row r="1" spans="1:60" x14ac:dyDescent="0.3">
      <c r="B1" s="6" t="s">
        <v>0</v>
      </c>
      <c r="C1" s="6" t="s">
        <v>251</v>
      </c>
      <c r="D1" s="6" t="s">
        <v>249</v>
      </c>
      <c r="E1" s="6" t="s">
        <v>250</v>
      </c>
      <c r="I1" s="6" t="s">
        <v>0</v>
      </c>
      <c r="J1" s="6" t="s">
        <v>251</v>
      </c>
      <c r="K1" s="6" t="s">
        <v>249</v>
      </c>
      <c r="L1" s="6" t="s">
        <v>250</v>
      </c>
      <c r="M1" s="6" t="s">
        <v>56</v>
      </c>
      <c r="N1" s="6" t="s">
        <v>57</v>
      </c>
      <c r="Q1" s="6" t="s">
        <v>0</v>
      </c>
      <c r="R1" s="6" t="s">
        <v>251</v>
      </c>
      <c r="S1" s="6" t="s">
        <v>249</v>
      </c>
      <c r="T1" s="6" t="s">
        <v>250</v>
      </c>
      <c r="U1" s="6" t="s">
        <v>56</v>
      </c>
      <c r="V1" s="6" t="s">
        <v>57</v>
      </c>
      <c r="Y1" s="6" t="s">
        <v>0</v>
      </c>
      <c r="Z1" s="6" t="s">
        <v>251</v>
      </c>
      <c r="AA1" s="6" t="s">
        <v>249</v>
      </c>
      <c r="AB1" s="6" t="s">
        <v>250</v>
      </c>
      <c r="AC1" s="6" t="s">
        <v>56</v>
      </c>
      <c r="AD1" s="6" t="s">
        <v>57</v>
      </c>
      <c r="AG1" s="6" t="s">
        <v>0</v>
      </c>
      <c r="AH1" s="6" t="s">
        <v>251</v>
      </c>
      <c r="AI1" s="6" t="s">
        <v>249</v>
      </c>
      <c r="AJ1" s="6" t="s">
        <v>250</v>
      </c>
      <c r="AK1" s="6" t="s">
        <v>56</v>
      </c>
      <c r="AL1" s="6" t="s">
        <v>57</v>
      </c>
      <c r="AO1" s="6" t="s">
        <v>0</v>
      </c>
      <c r="AP1" s="6" t="s">
        <v>251</v>
      </c>
      <c r="AQ1" s="6" t="s">
        <v>249</v>
      </c>
      <c r="AR1" s="6" t="s">
        <v>250</v>
      </c>
      <c r="AS1" s="6" t="s">
        <v>56</v>
      </c>
      <c r="AT1" s="6" t="s">
        <v>57</v>
      </c>
      <c r="AW1" s="6" t="s">
        <v>0</v>
      </c>
      <c r="AX1" s="6" t="s">
        <v>251</v>
      </c>
      <c r="AY1" s="6" t="s">
        <v>249</v>
      </c>
      <c r="AZ1" s="6" t="s">
        <v>250</v>
      </c>
      <c r="BA1" s="6" t="s">
        <v>56</v>
      </c>
      <c r="BB1" s="6" t="s">
        <v>57</v>
      </c>
      <c r="BE1" s="6" t="s">
        <v>0</v>
      </c>
      <c r="BF1" s="6" t="s">
        <v>251</v>
      </c>
      <c r="BG1" s="6" t="s">
        <v>249</v>
      </c>
      <c r="BH1" s="6" t="s">
        <v>250</v>
      </c>
    </row>
    <row r="2" spans="1:60" x14ac:dyDescent="0.3">
      <c r="A2" s="6">
        <f>A1+1</f>
        <v>1</v>
      </c>
      <c r="B2" s="13" t="s">
        <v>87</v>
      </c>
      <c r="C2" s="13">
        <v>4055</v>
      </c>
      <c r="D2" s="13">
        <v>1907</v>
      </c>
      <c r="E2" s="13">
        <v>2148</v>
      </c>
      <c r="H2" s="6">
        <f t="shared" ref="H2:H39" si="0">H1+1</f>
        <v>1</v>
      </c>
      <c r="I2" s="6" t="s">
        <v>67</v>
      </c>
      <c r="J2" s="6">
        <f t="shared" ref="J2:J39" si="1">K2+L2</f>
        <v>3136</v>
      </c>
      <c r="K2" s="6">
        <v>1478</v>
      </c>
      <c r="L2" s="6">
        <v>1658</v>
      </c>
      <c r="M2" s="6">
        <f t="shared" ref="M2:M39" si="2">_xlfn.NORM.DIST(J2,3750,375,TRUE)*100000</f>
        <v>5078.0419825382132</v>
      </c>
      <c r="N2" s="6">
        <f t="shared" ref="N2:N39" ca="1" si="3">RANDBETWEEN(0,M2)</f>
        <v>4642</v>
      </c>
      <c r="P2" s="6">
        <f t="shared" ref="P2:P11" si="4">P1+1</f>
        <v>1</v>
      </c>
      <c r="Q2" s="6" t="s">
        <v>87</v>
      </c>
      <c r="R2" s="6">
        <f t="shared" ref="R2:R11" si="5">S2+T2</f>
        <v>4055</v>
      </c>
      <c r="S2" s="6">
        <v>1907</v>
      </c>
      <c r="T2" s="6">
        <v>2148</v>
      </c>
      <c r="U2" s="6">
        <f t="shared" ref="U2:U11" si="6">_xlfn.NORM.DIST(R2,5000,650,TRUE)*100000</f>
        <v>7299.4482113102622</v>
      </c>
      <c r="V2" s="6">
        <f t="shared" ref="V2:V11" ca="1" si="7">RANDBETWEEN(0,U2)</f>
        <v>5815</v>
      </c>
      <c r="X2" s="6">
        <f t="shared" ref="X2:X33" si="8">X1+1</f>
        <v>1</v>
      </c>
      <c r="Y2" s="6" t="s">
        <v>98</v>
      </c>
      <c r="Z2" s="6">
        <f t="shared" ref="Z2:Z33" si="9">AA2+AB2</f>
        <v>4051</v>
      </c>
      <c r="AA2" s="6">
        <v>1892</v>
      </c>
      <c r="AB2" s="6">
        <v>2159</v>
      </c>
      <c r="AC2" s="6">
        <f t="shared" ref="AC2:AC33" si="10">_xlfn.NORM.DIST(Z2,4800,365,TRUE)*1000000</f>
        <v>20082.168766359686</v>
      </c>
      <c r="AD2" s="6">
        <f t="shared" ref="AD2:AD33" ca="1" si="11">RANDBETWEEN(0,AC2)</f>
        <v>13160</v>
      </c>
      <c r="AF2" s="6">
        <f t="shared" ref="AF2:AF33" si="12">AF1+1</f>
        <v>1</v>
      </c>
      <c r="AG2" s="6" t="s">
        <v>151</v>
      </c>
      <c r="AH2" s="6">
        <f t="shared" ref="AH2:AH33" si="13">AI2+AJ2+0</f>
        <v>3674</v>
      </c>
      <c r="AI2" s="6">
        <v>1788</v>
      </c>
      <c r="AJ2" s="6">
        <v>1886</v>
      </c>
      <c r="AK2" s="6">
        <f t="shared" ref="AK2:AK33" si="14">_xlfn.NORM.DIST(AH2,4000,800,TRUE)*1000</f>
        <v>341.82039707213028</v>
      </c>
      <c r="AL2" s="6">
        <f t="shared" ref="AL2:AL33" ca="1" si="15">RANDBETWEEN(0,AK2)</f>
        <v>244</v>
      </c>
      <c r="AN2" s="6">
        <f t="shared" ref="AN2:AN19" si="16">AN1+1</f>
        <v>1</v>
      </c>
      <c r="AO2" s="6" t="s">
        <v>215</v>
      </c>
      <c r="AP2" s="6">
        <f t="shared" ref="AP2:AP17" si="17">AQ2+AR2</f>
        <v>3561</v>
      </c>
      <c r="AQ2" s="6">
        <v>1673</v>
      </c>
      <c r="AR2" s="6">
        <v>1888</v>
      </c>
      <c r="AS2" s="6">
        <f t="shared" ref="AS2:AS19" si="18">_xlfn.NORM.DIST(AP2,4150,550,TRUE)*1000</f>
        <v>142.10515392064593</v>
      </c>
      <c r="AT2" s="6">
        <f t="shared" ref="AT2:AT19" ca="1" si="19">RANDBETWEEN(0,AS2)</f>
        <v>2</v>
      </c>
      <c r="AV2" s="6">
        <f t="shared" ref="AV2:AV15" si="20">AV1+1</f>
        <v>1</v>
      </c>
      <c r="AW2" s="6" t="s">
        <v>224</v>
      </c>
      <c r="AX2" s="6">
        <f t="shared" ref="AX2:AX15" si="21">AY2+AZ2</f>
        <v>2803</v>
      </c>
      <c r="AY2" s="6">
        <v>1269</v>
      </c>
      <c r="AZ2" s="6">
        <v>1534</v>
      </c>
      <c r="BA2" s="6">
        <f t="shared" ref="BA2:BA14" si="22">_xlfn.NORM.DIST(AX2,3500,425,TRUE)*1000</f>
        <v>50.502583474103702</v>
      </c>
      <c r="BB2" s="6">
        <f t="shared" ref="BB2:BB14" ca="1" si="23">RANDBETWEEN(0,BA2)</f>
        <v>10</v>
      </c>
      <c r="BD2" s="6">
        <f>BD1+1</f>
        <v>1</v>
      </c>
      <c r="BE2" s="6" t="s">
        <v>7</v>
      </c>
      <c r="BF2" s="6">
        <f>BG2+BH2</f>
        <v>3697</v>
      </c>
      <c r="BG2" s="6">
        <v>1754</v>
      </c>
      <c r="BH2" s="6">
        <v>1943</v>
      </c>
    </row>
    <row r="3" spans="1:60" x14ac:dyDescent="0.3">
      <c r="A3" s="6">
        <f t="shared" ref="A3:A39" si="24">A2+1</f>
        <v>2</v>
      </c>
      <c r="B3" s="10" t="s">
        <v>98</v>
      </c>
      <c r="C3" s="10">
        <v>4051</v>
      </c>
      <c r="D3" s="10">
        <v>1892</v>
      </c>
      <c r="E3" s="10">
        <v>2159</v>
      </c>
      <c r="H3" s="6">
        <f t="shared" si="0"/>
        <v>2</v>
      </c>
      <c r="I3" s="6" t="s">
        <v>63</v>
      </c>
      <c r="J3" s="6">
        <f t="shared" si="1"/>
        <v>3064</v>
      </c>
      <c r="K3" s="6">
        <v>1456</v>
      </c>
      <c r="L3" s="6">
        <v>1608</v>
      </c>
      <c r="M3" s="6">
        <f t="shared" si="2"/>
        <v>3367.4844008180203</v>
      </c>
      <c r="N3" s="6">
        <f t="shared" ca="1" si="3"/>
        <v>2826</v>
      </c>
      <c r="P3" s="6">
        <f t="shared" si="4"/>
        <v>2</v>
      </c>
      <c r="Q3" s="6" t="s">
        <v>90</v>
      </c>
      <c r="R3" s="6">
        <f t="shared" si="5"/>
        <v>3835</v>
      </c>
      <c r="S3" s="6">
        <v>1804</v>
      </c>
      <c r="T3" s="6">
        <v>2031</v>
      </c>
      <c r="U3" s="6">
        <f t="shared" si="6"/>
        <v>3654.184588999984</v>
      </c>
      <c r="V3" s="6">
        <f t="shared" ca="1" si="7"/>
        <v>1878</v>
      </c>
      <c r="X3" s="6">
        <f t="shared" si="8"/>
        <v>2</v>
      </c>
      <c r="Y3" s="6" t="s">
        <v>97</v>
      </c>
      <c r="Z3" s="6">
        <f t="shared" si="9"/>
        <v>4050</v>
      </c>
      <c r="AA3" s="6">
        <v>1916</v>
      </c>
      <c r="AB3" s="6">
        <v>2134</v>
      </c>
      <c r="AC3" s="6">
        <f t="shared" si="10"/>
        <v>19949.427845490787</v>
      </c>
      <c r="AD3" s="6">
        <f t="shared" ca="1" si="11"/>
        <v>11096</v>
      </c>
      <c r="AF3" s="6">
        <f t="shared" si="12"/>
        <v>2</v>
      </c>
      <c r="AG3" s="6" t="s">
        <v>152</v>
      </c>
      <c r="AH3" s="6">
        <f t="shared" si="13"/>
        <v>3469</v>
      </c>
      <c r="AI3" s="6">
        <v>1653</v>
      </c>
      <c r="AJ3" s="6">
        <v>1816</v>
      </c>
      <c r="AK3" s="6">
        <f t="shared" si="14"/>
        <v>253.42516600296773</v>
      </c>
      <c r="AL3" s="6">
        <f t="shared" ca="1" si="15"/>
        <v>49</v>
      </c>
      <c r="AN3" s="6">
        <f t="shared" si="16"/>
        <v>2</v>
      </c>
      <c r="AO3" s="6" t="s">
        <v>203</v>
      </c>
      <c r="AP3" s="6">
        <f t="shared" si="17"/>
        <v>3373</v>
      </c>
      <c r="AQ3" s="6">
        <v>1609</v>
      </c>
      <c r="AR3" s="6">
        <v>1764</v>
      </c>
      <c r="AS3" s="6">
        <f t="shared" si="18"/>
        <v>78.867964681101199</v>
      </c>
      <c r="AT3" s="6">
        <f t="shared" ca="1" si="19"/>
        <v>49</v>
      </c>
      <c r="AV3" s="8">
        <f t="shared" si="20"/>
        <v>2</v>
      </c>
      <c r="AW3" s="8" t="s">
        <v>221</v>
      </c>
      <c r="AX3" s="8">
        <f t="shared" si="21"/>
        <v>2322</v>
      </c>
      <c r="AY3" s="8">
        <v>1036</v>
      </c>
      <c r="AZ3" s="8">
        <v>1286</v>
      </c>
      <c r="BA3" s="8">
        <f t="shared" si="22"/>
        <v>2.7876660475422743</v>
      </c>
      <c r="BB3" s="8">
        <f t="shared" ca="1" si="23"/>
        <v>1</v>
      </c>
      <c r="BD3" s="6">
        <f>BD2+1</f>
        <v>2</v>
      </c>
      <c r="BE3" s="6" t="s">
        <v>20</v>
      </c>
      <c r="BF3" s="6">
        <f t="shared" ref="BF3:BF4" si="25">BG3+BH3</f>
        <v>3488</v>
      </c>
      <c r="BG3" s="6">
        <v>1690</v>
      </c>
      <c r="BH3" s="6">
        <v>1798</v>
      </c>
    </row>
    <row r="4" spans="1:60" x14ac:dyDescent="0.3">
      <c r="A4" s="6">
        <f t="shared" si="24"/>
        <v>3</v>
      </c>
      <c r="B4" s="10" t="s">
        <v>97</v>
      </c>
      <c r="C4" s="10">
        <v>4050</v>
      </c>
      <c r="D4" s="10">
        <v>1916</v>
      </c>
      <c r="E4" s="10">
        <v>2134</v>
      </c>
      <c r="H4" s="6">
        <f t="shared" si="0"/>
        <v>3</v>
      </c>
      <c r="I4" s="6" t="s">
        <v>58</v>
      </c>
      <c r="J4" s="6">
        <f t="shared" si="1"/>
        <v>2948</v>
      </c>
      <c r="K4" s="6">
        <v>1378</v>
      </c>
      <c r="L4" s="6">
        <v>1570</v>
      </c>
      <c r="M4" s="6">
        <f t="shared" si="2"/>
        <v>1623.1337032037782</v>
      </c>
      <c r="N4" s="6">
        <f t="shared" ca="1" si="3"/>
        <v>414</v>
      </c>
      <c r="P4" s="6">
        <f t="shared" si="4"/>
        <v>3</v>
      </c>
      <c r="Q4" s="6" t="s">
        <v>88</v>
      </c>
      <c r="R4" s="6">
        <f t="shared" si="5"/>
        <v>3733</v>
      </c>
      <c r="S4" s="6">
        <v>1729</v>
      </c>
      <c r="T4" s="6">
        <v>2004</v>
      </c>
      <c r="U4" s="6">
        <f t="shared" si="6"/>
        <v>2563.393599746244</v>
      </c>
      <c r="V4" s="6">
        <f t="shared" ca="1" si="7"/>
        <v>1901</v>
      </c>
      <c r="X4" s="6">
        <f t="shared" si="8"/>
        <v>3</v>
      </c>
      <c r="Y4" s="6" t="s">
        <v>99</v>
      </c>
      <c r="Z4" s="6">
        <f t="shared" si="9"/>
        <v>3896</v>
      </c>
      <c r="AA4" s="6">
        <v>1850</v>
      </c>
      <c r="AB4" s="6">
        <v>2046</v>
      </c>
      <c r="AC4" s="6">
        <f t="shared" si="10"/>
        <v>6629.9364122611132</v>
      </c>
      <c r="AD4" s="6">
        <f t="shared" ca="1" si="11"/>
        <v>2444</v>
      </c>
      <c r="AF4" s="6">
        <f t="shared" si="12"/>
        <v>3</v>
      </c>
      <c r="AG4" s="6" t="s">
        <v>153</v>
      </c>
      <c r="AH4" s="6">
        <f t="shared" si="13"/>
        <v>3344</v>
      </c>
      <c r="AI4" s="6">
        <v>1597</v>
      </c>
      <c r="AJ4" s="6">
        <v>1747</v>
      </c>
      <c r="AK4" s="6">
        <f t="shared" si="14"/>
        <v>206.10805358581305</v>
      </c>
      <c r="AL4" s="6">
        <f t="shared" ca="1" si="15"/>
        <v>172</v>
      </c>
      <c r="AN4" s="6">
        <f t="shared" si="16"/>
        <v>3</v>
      </c>
      <c r="AO4" s="6" t="s">
        <v>209</v>
      </c>
      <c r="AP4" s="6">
        <f t="shared" si="17"/>
        <v>3281</v>
      </c>
      <c r="AQ4" s="6">
        <v>1558</v>
      </c>
      <c r="AR4" s="6">
        <v>1723</v>
      </c>
      <c r="AS4" s="6">
        <f t="shared" si="18"/>
        <v>57.053433237754192</v>
      </c>
      <c r="AT4" s="6">
        <f t="shared" ca="1" si="19"/>
        <v>21</v>
      </c>
      <c r="AV4" s="6">
        <f t="shared" si="20"/>
        <v>3</v>
      </c>
      <c r="AW4" s="6" t="s">
        <v>222</v>
      </c>
      <c r="AX4" s="6">
        <f t="shared" si="21"/>
        <v>2128</v>
      </c>
      <c r="AY4" s="6">
        <v>1024</v>
      </c>
      <c r="AZ4" s="6">
        <v>1104</v>
      </c>
      <c r="BA4" s="6">
        <f t="shared" si="22"/>
        <v>0.62278238060237456</v>
      </c>
      <c r="BB4" s="6">
        <f t="shared" ca="1" si="23"/>
        <v>0</v>
      </c>
      <c r="BD4" s="6">
        <f>BD3+1</f>
        <v>3</v>
      </c>
      <c r="BE4" s="6" t="s">
        <v>19</v>
      </c>
      <c r="BF4" s="6">
        <f t="shared" si="25"/>
        <v>3335</v>
      </c>
      <c r="BG4" s="6">
        <v>1571</v>
      </c>
      <c r="BH4" s="6">
        <v>1764</v>
      </c>
    </row>
    <row r="5" spans="1:60" x14ac:dyDescent="0.3">
      <c r="A5" s="6">
        <f t="shared" si="24"/>
        <v>4</v>
      </c>
      <c r="B5" s="10" t="s">
        <v>99</v>
      </c>
      <c r="C5" s="10">
        <v>3896</v>
      </c>
      <c r="D5" s="10">
        <v>1850</v>
      </c>
      <c r="E5" s="10">
        <v>2046</v>
      </c>
      <c r="H5" s="21">
        <f t="shared" si="0"/>
        <v>4</v>
      </c>
      <c r="I5" s="21" t="s">
        <v>72</v>
      </c>
      <c r="J5" s="21">
        <f t="shared" si="1"/>
        <v>2884</v>
      </c>
      <c r="K5" s="21">
        <v>1357</v>
      </c>
      <c r="L5" s="21">
        <v>1527</v>
      </c>
      <c r="M5" s="21">
        <f t="shared" si="2"/>
        <v>1046.2545655849744</v>
      </c>
      <c r="N5" s="21">
        <f t="shared" ca="1" si="3"/>
        <v>308</v>
      </c>
      <c r="P5" s="6">
        <f t="shared" si="4"/>
        <v>4</v>
      </c>
      <c r="Q5" s="6" t="s">
        <v>89</v>
      </c>
      <c r="R5" s="6">
        <f t="shared" si="5"/>
        <v>3475</v>
      </c>
      <c r="S5" s="6">
        <v>1634</v>
      </c>
      <c r="T5" s="6">
        <v>1841</v>
      </c>
      <c r="U5" s="6">
        <f t="shared" si="6"/>
        <v>948.41381056534544</v>
      </c>
      <c r="V5" s="6">
        <f t="shared" ca="1" si="7"/>
        <v>744</v>
      </c>
      <c r="X5" s="6">
        <f t="shared" si="8"/>
        <v>4</v>
      </c>
      <c r="Y5" s="6" t="s">
        <v>102</v>
      </c>
      <c r="Z5" s="6">
        <f t="shared" si="9"/>
        <v>3800</v>
      </c>
      <c r="AA5" s="6">
        <v>1787</v>
      </c>
      <c r="AB5" s="6">
        <v>2013</v>
      </c>
      <c r="AC5" s="6">
        <f t="shared" si="10"/>
        <v>3074.5209028474546</v>
      </c>
      <c r="AD5" s="6">
        <f t="shared" ca="1" si="11"/>
        <v>2525</v>
      </c>
      <c r="AF5" s="6">
        <f t="shared" si="12"/>
        <v>4</v>
      </c>
      <c r="AG5" s="6" t="s">
        <v>157</v>
      </c>
      <c r="AH5" s="6">
        <f t="shared" si="13"/>
        <v>3332</v>
      </c>
      <c r="AI5" s="6">
        <v>1576</v>
      </c>
      <c r="AJ5" s="6">
        <v>1756</v>
      </c>
      <c r="AK5" s="6">
        <f t="shared" si="14"/>
        <v>201.85885419114373</v>
      </c>
      <c r="AL5" s="6">
        <f t="shared" ca="1" si="15"/>
        <v>29</v>
      </c>
      <c r="AN5" s="6">
        <f t="shared" si="16"/>
        <v>4</v>
      </c>
      <c r="AO5" s="6" t="s">
        <v>216</v>
      </c>
      <c r="AP5" s="6">
        <f t="shared" si="17"/>
        <v>3376</v>
      </c>
      <c r="AQ5" s="6">
        <v>1581</v>
      </c>
      <c r="AR5" s="6">
        <v>1795</v>
      </c>
      <c r="AS5" s="6">
        <f t="shared" si="18"/>
        <v>79.673266598775655</v>
      </c>
      <c r="AT5" s="6">
        <f t="shared" ca="1" si="19"/>
        <v>30</v>
      </c>
      <c r="AV5" s="6">
        <f t="shared" si="20"/>
        <v>4</v>
      </c>
      <c r="AW5" s="6" t="s">
        <v>228</v>
      </c>
      <c r="AX5" s="6">
        <f t="shared" si="21"/>
        <v>2196</v>
      </c>
      <c r="AY5" s="6">
        <v>1019</v>
      </c>
      <c r="AZ5" s="6">
        <v>1177</v>
      </c>
      <c r="BA5" s="6">
        <f t="shared" si="22"/>
        <v>1.0766350057576772</v>
      </c>
      <c r="BB5" s="6">
        <f t="shared" ca="1" si="23"/>
        <v>0</v>
      </c>
    </row>
    <row r="6" spans="1:60" x14ac:dyDescent="0.3">
      <c r="A6" s="6">
        <f t="shared" si="24"/>
        <v>5</v>
      </c>
      <c r="B6" s="13" t="s">
        <v>90</v>
      </c>
      <c r="C6" s="13">
        <v>3835</v>
      </c>
      <c r="D6" s="13">
        <v>1804</v>
      </c>
      <c r="E6" s="13">
        <v>2031</v>
      </c>
      <c r="H6" s="7">
        <f t="shared" si="0"/>
        <v>5</v>
      </c>
      <c r="I6" s="7" t="s">
        <v>76</v>
      </c>
      <c r="J6" s="7">
        <f t="shared" si="1"/>
        <v>2781</v>
      </c>
      <c r="K6" s="7">
        <v>1264</v>
      </c>
      <c r="L6" s="7">
        <v>1517</v>
      </c>
      <c r="M6" s="7">
        <f t="shared" si="2"/>
        <v>488.30897175844228</v>
      </c>
      <c r="N6" s="7">
        <f t="shared" ca="1" si="3"/>
        <v>129</v>
      </c>
      <c r="P6" s="6">
        <f t="shared" si="4"/>
        <v>5</v>
      </c>
      <c r="Q6" s="6" t="s">
        <v>91</v>
      </c>
      <c r="R6" s="6">
        <f t="shared" si="5"/>
        <v>3463</v>
      </c>
      <c r="S6" s="6">
        <v>1592</v>
      </c>
      <c r="T6" s="6">
        <v>1871</v>
      </c>
      <c r="U6" s="6">
        <f t="shared" si="6"/>
        <v>902.44020415748264</v>
      </c>
      <c r="V6" s="6">
        <f t="shared" ca="1" si="7"/>
        <v>542</v>
      </c>
      <c r="X6" s="6">
        <f t="shared" si="8"/>
        <v>5</v>
      </c>
      <c r="Y6" s="6" t="s">
        <v>101</v>
      </c>
      <c r="Z6" s="6">
        <f t="shared" si="9"/>
        <v>3746</v>
      </c>
      <c r="AA6" s="6">
        <v>1775</v>
      </c>
      <c r="AB6" s="6">
        <v>1971</v>
      </c>
      <c r="AC6" s="6">
        <f t="shared" si="10"/>
        <v>1940.5264779432098</v>
      </c>
      <c r="AD6" s="6">
        <f t="shared" ca="1" si="11"/>
        <v>436</v>
      </c>
      <c r="AF6" s="6">
        <f t="shared" si="12"/>
        <v>5</v>
      </c>
      <c r="AG6" s="6" t="s">
        <v>155</v>
      </c>
      <c r="AH6" s="6">
        <f t="shared" si="13"/>
        <v>2988</v>
      </c>
      <c r="AI6" s="6">
        <v>1426</v>
      </c>
      <c r="AJ6" s="6">
        <v>1562</v>
      </c>
      <c r="AK6" s="6">
        <f t="shared" si="14"/>
        <v>102.93566393460179</v>
      </c>
      <c r="AL6" s="6">
        <f t="shared" ca="1" si="15"/>
        <v>30</v>
      </c>
      <c r="AN6" s="6">
        <f t="shared" si="16"/>
        <v>5</v>
      </c>
      <c r="AO6" s="6" t="s">
        <v>204</v>
      </c>
      <c r="AP6" s="6">
        <f t="shared" si="17"/>
        <v>3040</v>
      </c>
      <c r="AQ6" s="6">
        <v>1409</v>
      </c>
      <c r="AR6" s="6">
        <v>1631</v>
      </c>
      <c r="AS6" s="6">
        <f t="shared" si="18"/>
        <v>21.786164504228175</v>
      </c>
      <c r="AT6" s="6">
        <f t="shared" ca="1" si="19"/>
        <v>6</v>
      </c>
      <c r="AV6" s="6">
        <f t="shared" si="20"/>
        <v>5</v>
      </c>
      <c r="AW6" s="6" t="s">
        <v>225</v>
      </c>
      <c r="AX6" s="6">
        <f t="shared" si="21"/>
        <v>2085</v>
      </c>
      <c r="AY6" s="6">
        <v>1031</v>
      </c>
      <c r="AZ6" s="6">
        <v>1054</v>
      </c>
      <c r="BA6" s="6">
        <f t="shared" si="22"/>
        <v>0.43514817369005865</v>
      </c>
      <c r="BB6" s="6">
        <f t="shared" ca="1" si="23"/>
        <v>0</v>
      </c>
    </row>
    <row r="7" spans="1:60" x14ac:dyDescent="0.3">
      <c r="A7" s="6">
        <f t="shared" si="24"/>
        <v>6</v>
      </c>
      <c r="B7" s="10" t="s">
        <v>102</v>
      </c>
      <c r="C7" s="10">
        <v>3800</v>
      </c>
      <c r="D7" s="10">
        <v>1787</v>
      </c>
      <c r="E7" s="10">
        <v>2013</v>
      </c>
      <c r="H7" s="6">
        <f t="shared" si="0"/>
        <v>6</v>
      </c>
      <c r="I7" s="6" t="s">
        <v>71</v>
      </c>
      <c r="J7" s="6">
        <f t="shared" si="1"/>
        <v>2743</v>
      </c>
      <c r="K7" s="6">
        <v>1238</v>
      </c>
      <c r="L7" s="6">
        <v>1505</v>
      </c>
      <c r="M7" s="6">
        <f t="shared" si="2"/>
        <v>362.2875119993127</v>
      </c>
      <c r="N7" s="6">
        <f t="shared" ca="1" si="3"/>
        <v>39</v>
      </c>
      <c r="P7" s="6">
        <f t="shared" si="4"/>
        <v>6</v>
      </c>
      <c r="Q7" s="6" t="s">
        <v>92</v>
      </c>
      <c r="R7" s="6">
        <f t="shared" si="5"/>
        <v>3365</v>
      </c>
      <c r="S7" s="6">
        <v>1542</v>
      </c>
      <c r="T7" s="6">
        <v>1823</v>
      </c>
      <c r="U7" s="6">
        <f t="shared" si="6"/>
        <v>594.51295358825791</v>
      </c>
      <c r="V7" s="6">
        <f t="shared" ca="1" si="7"/>
        <v>444</v>
      </c>
      <c r="X7" s="6">
        <f t="shared" si="8"/>
        <v>6</v>
      </c>
      <c r="Y7" s="6" t="s">
        <v>100</v>
      </c>
      <c r="Z7" s="6">
        <f t="shared" si="9"/>
        <v>3666</v>
      </c>
      <c r="AA7" s="6">
        <v>1756</v>
      </c>
      <c r="AB7" s="6">
        <v>1910</v>
      </c>
      <c r="AC7" s="6">
        <f t="shared" si="10"/>
        <v>945.46378785938236</v>
      </c>
      <c r="AD7" s="6">
        <f t="shared" ca="1" si="11"/>
        <v>115</v>
      </c>
      <c r="AF7" s="6">
        <f t="shared" si="12"/>
        <v>6</v>
      </c>
      <c r="AG7" s="6" t="s">
        <v>154</v>
      </c>
      <c r="AH7" s="6">
        <f t="shared" si="13"/>
        <v>3292</v>
      </c>
      <c r="AI7" s="6">
        <v>1565</v>
      </c>
      <c r="AJ7" s="6">
        <v>1727</v>
      </c>
      <c r="AK7" s="6">
        <f t="shared" si="14"/>
        <v>188.07831568066339</v>
      </c>
      <c r="AL7" s="6">
        <f t="shared" ca="1" si="15"/>
        <v>15</v>
      </c>
      <c r="AN7" s="6">
        <f t="shared" si="16"/>
        <v>6</v>
      </c>
      <c r="AO7" s="6" t="s">
        <v>206</v>
      </c>
      <c r="AP7" s="6">
        <f t="shared" si="17"/>
        <v>2822</v>
      </c>
      <c r="AQ7" s="6">
        <v>1411</v>
      </c>
      <c r="AR7" s="6">
        <v>1411</v>
      </c>
      <c r="AS7" s="6">
        <f t="shared" si="18"/>
        <v>7.877428524346664</v>
      </c>
      <c r="AT7" s="6">
        <f t="shared" ca="1" si="19"/>
        <v>6</v>
      </c>
      <c r="AV7" s="6">
        <f t="shared" si="20"/>
        <v>6</v>
      </c>
      <c r="AW7" s="6" t="s">
        <v>226</v>
      </c>
      <c r="AX7" s="6">
        <f t="shared" si="21"/>
        <v>2109</v>
      </c>
      <c r="AY7" s="6">
        <v>974</v>
      </c>
      <c r="AZ7" s="6">
        <v>1135</v>
      </c>
      <c r="BA7" s="6">
        <f t="shared" si="22"/>
        <v>0.53217312845783715</v>
      </c>
      <c r="BB7" s="6">
        <f t="shared" ca="1" si="23"/>
        <v>0</v>
      </c>
    </row>
    <row r="8" spans="1:60" x14ac:dyDescent="0.3">
      <c r="A8" s="6">
        <f t="shared" si="24"/>
        <v>7</v>
      </c>
      <c r="B8" s="10" t="s">
        <v>101</v>
      </c>
      <c r="C8" s="10">
        <v>3746</v>
      </c>
      <c r="D8" s="10">
        <v>1775</v>
      </c>
      <c r="E8" s="10">
        <v>1971</v>
      </c>
      <c r="H8" s="6">
        <f t="shared" si="0"/>
        <v>7</v>
      </c>
      <c r="I8" s="6" t="s">
        <v>86</v>
      </c>
      <c r="J8" s="6">
        <f t="shared" si="1"/>
        <v>2723</v>
      </c>
      <c r="K8" s="6">
        <v>1285</v>
      </c>
      <c r="L8" s="6">
        <v>1438</v>
      </c>
      <c r="M8" s="6">
        <f t="shared" si="2"/>
        <v>308.44441914421577</v>
      </c>
      <c r="N8" s="6">
        <f t="shared" ca="1" si="3"/>
        <v>298</v>
      </c>
      <c r="P8" s="8">
        <f t="shared" si="4"/>
        <v>7</v>
      </c>
      <c r="Q8" s="8" t="s">
        <v>94</v>
      </c>
      <c r="R8" s="8">
        <f t="shared" si="5"/>
        <v>3202</v>
      </c>
      <c r="S8" s="8">
        <v>1469</v>
      </c>
      <c r="T8" s="8">
        <v>1733</v>
      </c>
      <c r="U8" s="8">
        <f t="shared" si="6"/>
        <v>283.60884085948743</v>
      </c>
      <c r="V8" s="8">
        <f t="shared" ca="1" si="7"/>
        <v>217</v>
      </c>
      <c r="X8" s="6">
        <f t="shared" si="8"/>
        <v>7</v>
      </c>
      <c r="Y8" s="6" t="s">
        <v>104</v>
      </c>
      <c r="Z8" s="6">
        <f t="shared" si="9"/>
        <v>3605</v>
      </c>
      <c r="AA8" s="6">
        <v>1723</v>
      </c>
      <c r="AB8" s="6">
        <v>1882</v>
      </c>
      <c r="AC8" s="6">
        <f t="shared" si="10"/>
        <v>530.23446316272145</v>
      </c>
      <c r="AD8" s="6">
        <f t="shared" ca="1" si="11"/>
        <v>419</v>
      </c>
      <c r="AF8" s="6">
        <f t="shared" si="12"/>
        <v>7</v>
      </c>
      <c r="AG8" s="6" t="s">
        <v>156</v>
      </c>
      <c r="AH8" s="6">
        <f t="shared" si="13"/>
        <v>3352</v>
      </c>
      <c r="AI8" s="6">
        <v>1585</v>
      </c>
      <c r="AJ8" s="6">
        <v>1767</v>
      </c>
      <c r="AK8" s="6">
        <f t="shared" si="14"/>
        <v>208.97008787160161</v>
      </c>
      <c r="AL8" s="6">
        <f t="shared" ca="1" si="15"/>
        <v>22</v>
      </c>
      <c r="AN8" s="6">
        <f t="shared" si="16"/>
        <v>7</v>
      </c>
      <c r="AO8" s="6" t="s">
        <v>211</v>
      </c>
      <c r="AP8" s="6">
        <f t="shared" si="17"/>
        <v>2965</v>
      </c>
      <c r="AQ8" s="6">
        <v>1404</v>
      </c>
      <c r="AR8" s="6">
        <v>1561</v>
      </c>
      <c r="AS8" s="6">
        <f t="shared" si="18"/>
        <v>15.598710670553817</v>
      </c>
      <c r="AT8" s="6">
        <f t="shared" ca="1" si="19"/>
        <v>7</v>
      </c>
      <c r="AV8" s="6">
        <f t="shared" si="20"/>
        <v>7</v>
      </c>
      <c r="AW8" s="6" t="s">
        <v>223</v>
      </c>
      <c r="AX8" s="6">
        <f t="shared" si="21"/>
        <v>2119</v>
      </c>
      <c r="AY8" s="6">
        <v>1002</v>
      </c>
      <c r="AZ8" s="6">
        <v>1117</v>
      </c>
      <c r="BA8" s="6">
        <f t="shared" si="22"/>
        <v>0.57821974163071577</v>
      </c>
      <c r="BB8" s="6">
        <f t="shared" ca="1" si="23"/>
        <v>0</v>
      </c>
    </row>
    <row r="9" spans="1:60" x14ac:dyDescent="0.3">
      <c r="A9" s="6">
        <f t="shared" si="24"/>
        <v>8</v>
      </c>
      <c r="B9" s="13" t="s">
        <v>88</v>
      </c>
      <c r="C9" s="13">
        <v>3733</v>
      </c>
      <c r="D9" s="13">
        <v>1729</v>
      </c>
      <c r="E9" s="13">
        <v>2004</v>
      </c>
      <c r="H9" s="6">
        <f t="shared" si="0"/>
        <v>8</v>
      </c>
      <c r="I9" s="6" t="s">
        <v>84</v>
      </c>
      <c r="J9" s="6">
        <f t="shared" si="1"/>
        <v>2657</v>
      </c>
      <c r="K9" s="6">
        <v>1225</v>
      </c>
      <c r="L9" s="6">
        <v>1432</v>
      </c>
      <c r="M9" s="6">
        <f t="shared" si="2"/>
        <v>178.03431385124708</v>
      </c>
      <c r="N9" s="6">
        <f t="shared" ca="1" si="3"/>
        <v>46</v>
      </c>
      <c r="P9" s="6">
        <f t="shared" si="4"/>
        <v>8</v>
      </c>
      <c r="Q9" s="6" t="s">
        <v>95</v>
      </c>
      <c r="R9" s="6">
        <f t="shared" si="5"/>
        <v>3156</v>
      </c>
      <c r="S9" s="6">
        <v>1457</v>
      </c>
      <c r="T9" s="6">
        <v>1699</v>
      </c>
      <c r="U9" s="6">
        <f t="shared" si="6"/>
        <v>227.75292427223459</v>
      </c>
      <c r="V9" s="6">
        <f t="shared" ca="1" si="7"/>
        <v>46</v>
      </c>
      <c r="X9" s="6">
        <f t="shared" si="8"/>
        <v>8</v>
      </c>
      <c r="Y9" s="6" t="s">
        <v>103</v>
      </c>
      <c r="Z9" s="6">
        <f t="shared" si="9"/>
        <v>3573</v>
      </c>
      <c r="AA9" s="6">
        <v>1704</v>
      </c>
      <c r="AB9" s="6">
        <v>1869</v>
      </c>
      <c r="AC9" s="6">
        <f t="shared" si="10"/>
        <v>387.39995731271853</v>
      </c>
      <c r="AD9" s="6">
        <f t="shared" ca="1" si="11"/>
        <v>297</v>
      </c>
      <c r="AF9" s="6">
        <f t="shared" si="12"/>
        <v>8</v>
      </c>
      <c r="AG9" s="6" t="s">
        <v>158</v>
      </c>
      <c r="AH9" s="6">
        <f t="shared" si="13"/>
        <v>3095</v>
      </c>
      <c r="AI9" s="6">
        <v>1481</v>
      </c>
      <c r="AJ9" s="6">
        <v>1614</v>
      </c>
      <c r="AK9" s="6">
        <f t="shared" si="14"/>
        <v>128.97494127715419</v>
      </c>
      <c r="AL9" s="6">
        <f t="shared" ca="1" si="15"/>
        <v>114</v>
      </c>
      <c r="AN9" s="6">
        <f t="shared" si="16"/>
        <v>8</v>
      </c>
      <c r="AO9" s="6" t="s">
        <v>217</v>
      </c>
      <c r="AP9" s="6">
        <f t="shared" si="17"/>
        <v>3021</v>
      </c>
      <c r="AQ9" s="6">
        <v>1425</v>
      </c>
      <c r="AR9" s="6">
        <v>1596</v>
      </c>
      <c r="AS9" s="6">
        <f t="shared" si="18"/>
        <v>20.049517724849046</v>
      </c>
      <c r="AT9" s="6">
        <f t="shared" ca="1" si="19"/>
        <v>20</v>
      </c>
      <c r="AV9" s="6">
        <f t="shared" si="20"/>
        <v>8</v>
      </c>
      <c r="AW9" s="6" t="s">
        <v>227</v>
      </c>
      <c r="AX9" s="6">
        <f t="shared" si="21"/>
        <v>1604</v>
      </c>
      <c r="AY9" s="6">
        <v>876</v>
      </c>
      <c r="AZ9" s="6">
        <v>728</v>
      </c>
      <c r="BA9" s="6">
        <f t="shared" si="22"/>
        <v>4.0755466123098679E-3</v>
      </c>
      <c r="BB9" s="6">
        <f t="shared" ca="1" si="23"/>
        <v>0</v>
      </c>
    </row>
    <row r="10" spans="1:60" x14ac:dyDescent="0.3">
      <c r="A10" s="6">
        <f t="shared" si="24"/>
        <v>9</v>
      </c>
      <c r="B10" s="23" t="s">
        <v>7</v>
      </c>
      <c r="C10" s="23">
        <v>3697</v>
      </c>
      <c r="D10" s="23">
        <v>1754</v>
      </c>
      <c r="E10" s="23">
        <v>1943</v>
      </c>
      <c r="H10" s="6">
        <f t="shared" si="0"/>
        <v>9</v>
      </c>
      <c r="I10" s="6" t="s">
        <v>81</v>
      </c>
      <c r="J10" s="6">
        <f t="shared" si="1"/>
        <v>2605</v>
      </c>
      <c r="K10" s="6">
        <v>1219</v>
      </c>
      <c r="L10" s="6">
        <v>1386</v>
      </c>
      <c r="M10" s="6">
        <f t="shared" si="2"/>
        <v>113.15719834568137</v>
      </c>
      <c r="N10" s="6">
        <f t="shared" ca="1" si="3"/>
        <v>92</v>
      </c>
      <c r="P10" s="6">
        <f t="shared" si="4"/>
        <v>9</v>
      </c>
      <c r="Q10" s="6" t="s">
        <v>96</v>
      </c>
      <c r="R10" s="6">
        <f t="shared" si="5"/>
        <v>3175</v>
      </c>
      <c r="S10" s="6">
        <v>1458</v>
      </c>
      <c r="T10" s="6">
        <v>1717</v>
      </c>
      <c r="U10" s="6">
        <f t="shared" si="6"/>
        <v>249.48938675851346</v>
      </c>
      <c r="V10" s="6">
        <f t="shared" ca="1" si="7"/>
        <v>66</v>
      </c>
      <c r="X10" s="6">
        <f t="shared" si="8"/>
        <v>9</v>
      </c>
      <c r="Y10" s="6" t="s">
        <v>105</v>
      </c>
      <c r="Z10" s="6">
        <f t="shared" si="9"/>
        <v>3634</v>
      </c>
      <c r="AA10" s="6">
        <v>1726</v>
      </c>
      <c r="AB10" s="6">
        <v>1908</v>
      </c>
      <c r="AC10" s="6">
        <f t="shared" si="10"/>
        <v>700.31657030244992</v>
      </c>
      <c r="AD10" s="6">
        <f t="shared" ca="1" si="11"/>
        <v>381</v>
      </c>
      <c r="AF10" s="6">
        <f t="shared" si="12"/>
        <v>9</v>
      </c>
      <c r="AG10" s="6" t="s">
        <v>160</v>
      </c>
      <c r="AH10" s="6">
        <f t="shared" si="13"/>
        <v>3010</v>
      </c>
      <c r="AI10" s="6">
        <v>1451</v>
      </c>
      <c r="AJ10" s="6">
        <v>1559</v>
      </c>
      <c r="AK10" s="6">
        <f t="shared" si="14"/>
        <v>107.95075716732468</v>
      </c>
      <c r="AL10" s="6">
        <f t="shared" ca="1" si="15"/>
        <v>103</v>
      </c>
      <c r="AN10" s="8">
        <f t="shared" si="16"/>
        <v>9</v>
      </c>
      <c r="AO10" s="8" t="s">
        <v>210</v>
      </c>
      <c r="AP10" s="8">
        <f t="shared" si="17"/>
        <v>2978</v>
      </c>
      <c r="AQ10" s="8">
        <v>1350</v>
      </c>
      <c r="AR10" s="8">
        <v>1628</v>
      </c>
      <c r="AS10" s="8">
        <f t="shared" si="18"/>
        <v>16.548316152294376</v>
      </c>
      <c r="AT10" s="8">
        <f t="shared" ca="1" si="19"/>
        <v>8</v>
      </c>
      <c r="AV10" s="6">
        <f t="shared" si="20"/>
        <v>9</v>
      </c>
      <c r="AW10" s="6" t="s">
        <v>270</v>
      </c>
      <c r="AX10" s="6">
        <f t="shared" si="21"/>
        <v>1499</v>
      </c>
      <c r="AY10" s="6">
        <v>877</v>
      </c>
      <c r="AZ10" s="6">
        <v>622</v>
      </c>
      <c r="BA10" s="6">
        <f t="shared" si="22"/>
        <v>1.2493528783817432E-3</v>
      </c>
      <c r="BB10" s="6">
        <f t="shared" ca="1" si="23"/>
        <v>0</v>
      </c>
    </row>
    <row r="11" spans="1:60" x14ac:dyDescent="0.3">
      <c r="A11" s="6">
        <f t="shared" si="24"/>
        <v>10</v>
      </c>
      <c r="B11" s="14" t="s">
        <v>151</v>
      </c>
      <c r="C11" s="14">
        <v>3674</v>
      </c>
      <c r="D11" s="14">
        <v>1788</v>
      </c>
      <c r="E11" s="14">
        <v>1886</v>
      </c>
      <c r="H11" s="6">
        <f t="shared" si="0"/>
        <v>10</v>
      </c>
      <c r="I11" s="6" t="s">
        <v>82</v>
      </c>
      <c r="J11" s="6">
        <f t="shared" si="1"/>
        <v>2563</v>
      </c>
      <c r="K11" s="6">
        <v>1132</v>
      </c>
      <c r="L11" s="6">
        <v>1431</v>
      </c>
      <c r="M11" s="6">
        <f t="shared" si="2"/>
        <v>77.452689054482917</v>
      </c>
      <c r="N11" s="6">
        <f t="shared" ca="1" si="3"/>
        <v>28</v>
      </c>
      <c r="P11" s="6">
        <f t="shared" si="4"/>
        <v>10</v>
      </c>
      <c r="Q11" s="6" t="s">
        <v>93</v>
      </c>
      <c r="R11" s="6">
        <f t="shared" si="5"/>
        <v>2947</v>
      </c>
      <c r="S11" s="6">
        <v>1326</v>
      </c>
      <c r="T11" s="6">
        <v>1621</v>
      </c>
      <c r="U11" s="6">
        <f t="shared" si="6"/>
        <v>79.302118147039906</v>
      </c>
      <c r="V11" s="6">
        <f t="shared" ca="1" si="7"/>
        <v>74</v>
      </c>
      <c r="X11" s="6">
        <f t="shared" si="8"/>
        <v>10</v>
      </c>
      <c r="Y11" s="6" t="s">
        <v>106</v>
      </c>
      <c r="Z11" s="6">
        <f t="shared" si="9"/>
        <v>3639</v>
      </c>
      <c r="AA11" s="6">
        <v>1696</v>
      </c>
      <c r="AB11" s="6">
        <v>1943</v>
      </c>
      <c r="AC11" s="6">
        <f t="shared" si="10"/>
        <v>734.28937245717248</v>
      </c>
      <c r="AD11" s="6">
        <f t="shared" ca="1" si="11"/>
        <v>453</v>
      </c>
      <c r="AF11" s="8">
        <f t="shared" si="12"/>
        <v>10</v>
      </c>
      <c r="AG11" s="8" t="s">
        <v>159</v>
      </c>
      <c r="AH11" s="8">
        <f t="shared" si="13"/>
        <v>3043</v>
      </c>
      <c r="AI11" s="8">
        <v>1455</v>
      </c>
      <c r="AJ11" s="8">
        <v>1588</v>
      </c>
      <c r="AK11" s="8">
        <f t="shared" si="14"/>
        <v>115.79950712068853</v>
      </c>
      <c r="AL11" s="8">
        <f t="shared" ca="1" si="15"/>
        <v>45</v>
      </c>
      <c r="AN11" s="6">
        <f t="shared" si="16"/>
        <v>10</v>
      </c>
      <c r="AO11" s="6" t="s">
        <v>205</v>
      </c>
      <c r="AP11" s="6">
        <f t="shared" si="17"/>
        <v>2910</v>
      </c>
      <c r="AQ11" s="6">
        <v>1370</v>
      </c>
      <c r="AR11" s="6">
        <v>1540</v>
      </c>
      <c r="AS11" s="6">
        <f t="shared" si="18"/>
        <v>12.080937244873718</v>
      </c>
      <c r="AT11" s="6">
        <f t="shared" ca="1" si="19"/>
        <v>4</v>
      </c>
      <c r="AV11" s="6">
        <f t="shared" si="20"/>
        <v>10</v>
      </c>
      <c r="AW11" s="6" t="s">
        <v>272</v>
      </c>
      <c r="AX11" s="6">
        <f t="shared" si="21"/>
        <v>1355</v>
      </c>
      <c r="AY11" s="6">
        <v>835</v>
      </c>
      <c r="AZ11" s="6">
        <v>520</v>
      </c>
      <c r="BA11" s="6">
        <f t="shared" si="22"/>
        <v>2.2433162331158321E-4</v>
      </c>
      <c r="BB11" s="6">
        <f t="shared" ca="1" si="23"/>
        <v>0</v>
      </c>
    </row>
    <row r="12" spans="1:60" x14ac:dyDescent="0.3">
      <c r="A12" s="6">
        <f t="shared" si="24"/>
        <v>11</v>
      </c>
      <c r="B12" s="10" t="s">
        <v>100</v>
      </c>
      <c r="C12" s="10">
        <v>3666</v>
      </c>
      <c r="D12" s="10">
        <v>1756</v>
      </c>
      <c r="E12" s="10">
        <v>1910</v>
      </c>
      <c r="H12" s="6">
        <f t="shared" si="0"/>
        <v>11</v>
      </c>
      <c r="I12" s="6" t="s">
        <v>66</v>
      </c>
      <c r="J12" s="6">
        <f t="shared" si="1"/>
        <v>2447</v>
      </c>
      <c r="K12" s="6">
        <v>1114</v>
      </c>
      <c r="L12" s="6">
        <v>1333</v>
      </c>
      <c r="M12" s="6">
        <f t="shared" si="2"/>
        <v>25.574425447578101</v>
      </c>
      <c r="N12" s="6">
        <f t="shared" ca="1" si="3"/>
        <v>0</v>
      </c>
      <c r="X12" s="6">
        <f t="shared" si="8"/>
        <v>11</v>
      </c>
      <c r="Y12" s="6" t="s">
        <v>107</v>
      </c>
      <c r="Z12" s="6">
        <f t="shared" si="9"/>
        <v>3488</v>
      </c>
      <c r="AA12" s="6">
        <v>1619</v>
      </c>
      <c r="AB12" s="6">
        <v>1869</v>
      </c>
      <c r="AC12" s="6">
        <f t="shared" si="10"/>
        <v>162.4947485112375</v>
      </c>
      <c r="AD12" s="6">
        <f t="shared" ca="1" si="11"/>
        <v>123</v>
      </c>
      <c r="AF12" s="6">
        <f t="shared" si="12"/>
        <v>11</v>
      </c>
      <c r="AG12" s="6" t="s">
        <v>254</v>
      </c>
      <c r="AH12" s="6">
        <f t="shared" si="13"/>
        <v>3199</v>
      </c>
      <c r="AI12" s="6">
        <v>1495</v>
      </c>
      <c r="AJ12" s="6">
        <v>1704</v>
      </c>
      <c r="AK12" s="6">
        <f t="shared" si="14"/>
        <v>158.35297956538741</v>
      </c>
      <c r="AL12" s="6">
        <f t="shared" ca="1" si="15"/>
        <v>27</v>
      </c>
      <c r="AN12" s="6">
        <f t="shared" si="16"/>
        <v>11</v>
      </c>
      <c r="AO12" s="6" t="s">
        <v>212</v>
      </c>
      <c r="AP12" s="6">
        <f t="shared" si="17"/>
        <v>2788</v>
      </c>
      <c r="AQ12" s="6">
        <v>1309</v>
      </c>
      <c r="AR12" s="6">
        <v>1479</v>
      </c>
      <c r="AS12" s="6">
        <f t="shared" si="18"/>
        <v>6.6364158353147085</v>
      </c>
      <c r="AT12" s="6">
        <f t="shared" ca="1" si="19"/>
        <v>3</v>
      </c>
      <c r="AV12" s="6">
        <f t="shared" si="20"/>
        <v>11</v>
      </c>
      <c r="AW12" s="6" t="s">
        <v>273</v>
      </c>
      <c r="AX12" s="6">
        <f t="shared" si="21"/>
        <v>1252</v>
      </c>
      <c r="AY12" s="6">
        <v>883</v>
      </c>
      <c r="AZ12" s="6">
        <v>369</v>
      </c>
      <c r="BA12" s="6">
        <f t="shared" si="22"/>
        <v>6.1355180278058186E-5</v>
      </c>
      <c r="BB12" s="6">
        <f t="shared" ca="1" si="23"/>
        <v>0</v>
      </c>
    </row>
    <row r="13" spans="1:60" x14ac:dyDescent="0.3">
      <c r="A13" s="6">
        <f t="shared" si="24"/>
        <v>12</v>
      </c>
      <c r="B13" s="10" t="s">
        <v>106</v>
      </c>
      <c r="C13" s="10">
        <v>3639</v>
      </c>
      <c r="D13" s="10">
        <v>1696</v>
      </c>
      <c r="E13" s="10">
        <v>1943</v>
      </c>
      <c r="H13" s="6">
        <f t="shared" si="0"/>
        <v>12</v>
      </c>
      <c r="I13" s="6" t="s">
        <v>73</v>
      </c>
      <c r="J13" s="6">
        <f t="shared" si="1"/>
        <v>2359</v>
      </c>
      <c r="K13" s="6">
        <v>1076</v>
      </c>
      <c r="L13" s="6">
        <v>1283</v>
      </c>
      <c r="M13" s="6">
        <f t="shared" si="2"/>
        <v>10.39028481637909</v>
      </c>
      <c r="N13" s="6">
        <f t="shared" ca="1" si="3"/>
        <v>8</v>
      </c>
      <c r="X13" s="6">
        <f t="shared" si="8"/>
        <v>12</v>
      </c>
      <c r="Y13" s="6" t="s">
        <v>108</v>
      </c>
      <c r="Z13" s="6">
        <f t="shared" si="9"/>
        <v>3419</v>
      </c>
      <c r="AA13" s="6">
        <v>1598</v>
      </c>
      <c r="AB13" s="6">
        <v>1821</v>
      </c>
      <c r="AC13" s="6">
        <f t="shared" si="10"/>
        <v>77.30000588421214</v>
      </c>
      <c r="AD13" s="6">
        <f t="shared" ca="1" si="11"/>
        <v>19</v>
      </c>
      <c r="AF13" s="6">
        <f t="shared" si="12"/>
        <v>12</v>
      </c>
      <c r="AG13" s="6" t="s">
        <v>161</v>
      </c>
      <c r="AH13" s="6">
        <f t="shared" si="13"/>
        <v>2935</v>
      </c>
      <c r="AI13" s="6">
        <v>1406</v>
      </c>
      <c r="AJ13" s="6">
        <v>1529</v>
      </c>
      <c r="AK13" s="6">
        <f t="shared" si="14"/>
        <v>91.553382139664336</v>
      </c>
      <c r="AL13" s="6">
        <f t="shared" ca="1" si="15"/>
        <v>28</v>
      </c>
      <c r="AN13" s="6">
        <f t="shared" si="16"/>
        <v>12</v>
      </c>
      <c r="AO13" s="6" t="s">
        <v>218</v>
      </c>
      <c r="AP13" s="6">
        <f t="shared" si="17"/>
        <v>2668</v>
      </c>
      <c r="AQ13" s="6">
        <v>1254</v>
      </c>
      <c r="AR13" s="6">
        <v>1414</v>
      </c>
      <c r="AS13" s="6">
        <f t="shared" si="18"/>
        <v>3.5242356028729986</v>
      </c>
      <c r="AT13" s="6">
        <f t="shared" ca="1" si="19"/>
        <v>2</v>
      </c>
      <c r="AV13" s="6">
        <f t="shared" si="20"/>
        <v>12</v>
      </c>
      <c r="AW13" s="6" t="s">
        <v>269</v>
      </c>
      <c r="AX13" s="6">
        <f t="shared" si="21"/>
        <v>756</v>
      </c>
      <c r="AY13" s="6">
        <v>0</v>
      </c>
      <c r="AZ13" s="6">
        <v>756</v>
      </c>
      <c r="BA13" s="6">
        <f t="shared" si="22"/>
        <v>5.3586499405525134E-8</v>
      </c>
      <c r="BB13" s="6">
        <f t="shared" ca="1" si="23"/>
        <v>0</v>
      </c>
    </row>
    <row r="14" spans="1:60" x14ac:dyDescent="0.3">
      <c r="A14" s="6">
        <f t="shared" si="24"/>
        <v>13</v>
      </c>
      <c r="B14" s="10" t="s">
        <v>105</v>
      </c>
      <c r="C14" s="10">
        <v>3634</v>
      </c>
      <c r="D14" s="10">
        <v>1726</v>
      </c>
      <c r="E14" s="10">
        <v>1908</v>
      </c>
      <c r="H14" s="6">
        <f t="shared" si="0"/>
        <v>13</v>
      </c>
      <c r="I14" s="6" t="s">
        <v>68</v>
      </c>
      <c r="J14" s="6">
        <f t="shared" si="1"/>
        <v>2341</v>
      </c>
      <c r="K14" s="6">
        <v>1049</v>
      </c>
      <c r="L14" s="6">
        <v>1292</v>
      </c>
      <c r="M14" s="6">
        <f t="shared" si="2"/>
        <v>8.5866835952858835</v>
      </c>
      <c r="N14" s="6">
        <f t="shared" ca="1" si="3"/>
        <v>2</v>
      </c>
      <c r="X14" s="6">
        <f t="shared" si="8"/>
        <v>13</v>
      </c>
      <c r="Y14" s="6" t="s">
        <v>110</v>
      </c>
      <c r="Z14" s="6">
        <f t="shared" si="9"/>
        <v>3434</v>
      </c>
      <c r="AA14" s="6">
        <v>1582</v>
      </c>
      <c r="AB14" s="6">
        <v>1852</v>
      </c>
      <c r="AC14" s="6">
        <f t="shared" si="10"/>
        <v>91.111686501932653</v>
      </c>
      <c r="AD14" s="6">
        <f t="shared" ca="1" si="11"/>
        <v>19</v>
      </c>
      <c r="AF14" s="6">
        <f t="shared" si="12"/>
        <v>13</v>
      </c>
      <c r="AG14" s="6" t="s">
        <v>162</v>
      </c>
      <c r="AH14" s="6">
        <f t="shared" si="13"/>
        <v>3043</v>
      </c>
      <c r="AI14" s="6">
        <v>1421</v>
      </c>
      <c r="AJ14" s="6">
        <v>1622</v>
      </c>
      <c r="AK14" s="6">
        <f t="shared" si="14"/>
        <v>115.79950712068853</v>
      </c>
      <c r="AL14" s="6">
        <f t="shared" ca="1" si="15"/>
        <v>58</v>
      </c>
      <c r="AN14" s="6">
        <f t="shared" si="16"/>
        <v>13</v>
      </c>
      <c r="AO14" s="6" t="s">
        <v>220</v>
      </c>
      <c r="AP14" s="6">
        <f t="shared" si="17"/>
        <v>2678</v>
      </c>
      <c r="AQ14" s="6">
        <v>1254</v>
      </c>
      <c r="AR14" s="6">
        <v>1424</v>
      </c>
      <c r="AS14" s="6">
        <f t="shared" si="18"/>
        <v>3.7212922702084432</v>
      </c>
      <c r="AT14" s="6">
        <f t="shared" ca="1" si="19"/>
        <v>1</v>
      </c>
      <c r="AV14" s="6">
        <f t="shared" si="20"/>
        <v>13</v>
      </c>
      <c r="AW14" s="6" t="s">
        <v>271</v>
      </c>
      <c r="AX14" s="6">
        <f t="shared" si="21"/>
        <v>544</v>
      </c>
      <c r="AY14" s="6">
        <v>0</v>
      </c>
      <c r="AZ14" s="6">
        <v>544</v>
      </c>
      <c r="BA14" s="6">
        <f t="shared" si="22"/>
        <v>1.7591362174198242E-9</v>
      </c>
      <c r="BB14" s="6">
        <f t="shared" ca="1" si="23"/>
        <v>0</v>
      </c>
    </row>
    <row r="15" spans="1:60" x14ac:dyDescent="0.3">
      <c r="A15" s="6">
        <f t="shared" si="24"/>
        <v>14</v>
      </c>
      <c r="B15" s="10" t="s">
        <v>104</v>
      </c>
      <c r="C15" s="10">
        <v>3605</v>
      </c>
      <c r="D15" s="10">
        <v>1723</v>
      </c>
      <c r="E15" s="10">
        <v>1882</v>
      </c>
      <c r="H15" s="6">
        <f t="shared" si="0"/>
        <v>14</v>
      </c>
      <c r="I15" s="6" t="s">
        <v>59</v>
      </c>
      <c r="J15" s="6">
        <f t="shared" si="1"/>
        <v>2220</v>
      </c>
      <c r="K15" s="6">
        <v>981</v>
      </c>
      <c r="L15" s="6">
        <v>1239</v>
      </c>
      <c r="M15" s="6">
        <f t="shared" si="2"/>
        <v>2.2517850388525389</v>
      </c>
      <c r="N15" s="6">
        <f t="shared" ca="1" si="3"/>
        <v>2</v>
      </c>
      <c r="X15" s="6">
        <f t="shared" si="8"/>
        <v>14</v>
      </c>
      <c r="Y15" s="6" t="s">
        <v>109</v>
      </c>
      <c r="Z15" s="6">
        <f t="shared" si="9"/>
        <v>3329</v>
      </c>
      <c r="AA15" s="6">
        <v>1549</v>
      </c>
      <c r="AB15" s="6">
        <v>1780</v>
      </c>
      <c r="AC15" s="6">
        <f t="shared" si="10"/>
        <v>27.87217841075687</v>
      </c>
      <c r="AD15" s="6">
        <f t="shared" ca="1" si="11"/>
        <v>12</v>
      </c>
      <c r="AF15" s="6">
        <f t="shared" si="12"/>
        <v>14</v>
      </c>
      <c r="AG15" s="6" t="s">
        <v>163</v>
      </c>
      <c r="AH15" s="6">
        <f t="shared" si="13"/>
        <v>2962</v>
      </c>
      <c r="AI15" s="6">
        <v>1387</v>
      </c>
      <c r="AJ15" s="6">
        <v>1575</v>
      </c>
      <c r="AK15" s="6">
        <f t="shared" si="14"/>
        <v>97.22960255808735</v>
      </c>
      <c r="AL15" s="6">
        <f t="shared" ca="1" si="15"/>
        <v>37</v>
      </c>
      <c r="AN15" s="6">
        <f t="shared" si="16"/>
        <v>14</v>
      </c>
      <c r="AO15" s="6" t="s">
        <v>214</v>
      </c>
      <c r="AP15" s="6">
        <f t="shared" si="17"/>
        <v>2708</v>
      </c>
      <c r="AQ15" s="6">
        <v>1243</v>
      </c>
      <c r="AR15" s="6">
        <v>1465</v>
      </c>
      <c r="AS15" s="6">
        <f t="shared" si="18"/>
        <v>4.3731038735208267</v>
      </c>
      <c r="AT15" s="6">
        <f t="shared" ca="1" si="19"/>
        <v>1</v>
      </c>
      <c r="AV15" s="6">
        <f t="shared" si="20"/>
        <v>14</v>
      </c>
      <c r="AW15" s="6" t="s">
        <v>301</v>
      </c>
      <c r="AX15" s="6">
        <f t="shared" si="21"/>
        <v>871</v>
      </c>
      <c r="AY15" s="6">
        <v>871</v>
      </c>
      <c r="AZ15" s="6">
        <v>0</v>
      </c>
    </row>
    <row r="16" spans="1:60" x14ac:dyDescent="0.3">
      <c r="A16" s="6">
        <f t="shared" si="24"/>
        <v>15</v>
      </c>
      <c r="B16" s="10" t="s">
        <v>103</v>
      </c>
      <c r="C16" s="10">
        <v>3573</v>
      </c>
      <c r="D16" s="10">
        <v>1704</v>
      </c>
      <c r="E16" s="10">
        <v>1869</v>
      </c>
      <c r="H16" s="6">
        <f t="shared" si="0"/>
        <v>15</v>
      </c>
      <c r="I16" s="6" t="s">
        <v>83</v>
      </c>
      <c r="J16" s="6">
        <f t="shared" si="1"/>
        <v>2159</v>
      </c>
      <c r="K16" s="6">
        <v>1024</v>
      </c>
      <c r="L16" s="6">
        <v>1135</v>
      </c>
      <c r="M16" s="6">
        <f t="shared" si="2"/>
        <v>1.1043969508626912</v>
      </c>
      <c r="N16" s="6">
        <f t="shared" ca="1" si="3"/>
        <v>1</v>
      </c>
      <c r="X16" s="6">
        <f t="shared" si="8"/>
        <v>15</v>
      </c>
      <c r="Y16" s="6" t="s">
        <v>112</v>
      </c>
      <c r="Z16" s="6">
        <f t="shared" si="9"/>
        <v>3198</v>
      </c>
      <c r="AA16" s="6">
        <v>1516</v>
      </c>
      <c r="AB16" s="6">
        <v>1682</v>
      </c>
      <c r="AC16" s="6">
        <f t="shared" si="10"/>
        <v>5.6925777662911887</v>
      </c>
      <c r="AD16" s="6">
        <f t="shared" ca="1" si="11"/>
        <v>1</v>
      </c>
      <c r="AF16" s="6">
        <f t="shared" si="12"/>
        <v>15</v>
      </c>
      <c r="AG16" s="6" t="s">
        <v>165</v>
      </c>
      <c r="AH16" s="6">
        <f t="shared" si="13"/>
        <v>2673</v>
      </c>
      <c r="AI16" s="6">
        <v>1272</v>
      </c>
      <c r="AJ16" s="6">
        <v>1401</v>
      </c>
      <c r="AK16" s="6">
        <f t="shared" si="14"/>
        <v>48.583089732683348</v>
      </c>
      <c r="AL16" s="6">
        <f t="shared" ca="1" si="15"/>
        <v>18</v>
      </c>
      <c r="AN16" s="6">
        <f t="shared" si="16"/>
        <v>15</v>
      </c>
      <c r="AO16" s="6" t="s">
        <v>207</v>
      </c>
      <c r="AP16" s="6">
        <f t="shared" si="17"/>
        <v>2487</v>
      </c>
      <c r="AQ16" s="6">
        <v>1192</v>
      </c>
      <c r="AR16" s="6">
        <v>1295</v>
      </c>
      <c r="AS16" s="6">
        <f t="shared" si="18"/>
        <v>1.2487822117854261</v>
      </c>
      <c r="AT16" s="6">
        <f t="shared" ca="1" si="19"/>
        <v>0</v>
      </c>
    </row>
    <row r="17" spans="1:46" x14ac:dyDescent="0.3">
      <c r="A17" s="6">
        <f t="shared" si="24"/>
        <v>16</v>
      </c>
      <c r="B17" s="6" t="s">
        <v>215</v>
      </c>
      <c r="C17" s="6">
        <v>3561</v>
      </c>
      <c r="D17" s="6">
        <v>1673</v>
      </c>
      <c r="E17" s="6">
        <v>1888</v>
      </c>
      <c r="H17" s="6">
        <f t="shared" si="0"/>
        <v>16</v>
      </c>
      <c r="I17" s="6" t="s">
        <v>62</v>
      </c>
      <c r="J17" s="6">
        <f t="shared" si="1"/>
        <v>2092</v>
      </c>
      <c r="K17" s="6">
        <v>975</v>
      </c>
      <c r="L17" s="6">
        <v>1117</v>
      </c>
      <c r="M17" s="6">
        <f t="shared" si="2"/>
        <v>0.49046855899032049</v>
      </c>
      <c r="N17" s="6">
        <f t="shared" ca="1" si="3"/>
        <v>0</v>
      </c>
      <c r="O17" s="22"/>
      <c r="X17" s="7">
        <f t="shared" si="8"/>
        <v>16</v>
      </c>
      <c r="Y17" s="7" t="s">
        <v>120</v>
      </c>
      <c r="Z17" s="7">
        <f t="shared" si="9"/>
        <v>3551</v>
      </c>
      <c r="AA17" s="7">
        <v>1617</v>
      </c>
      <c r="AB17" s="7">
        <v>1934</v>
      </c>
      <c r="AC17" s="7">
        <f t="shared" si="10"/>
        <v>310.90553756703525</v>
      </c>
      <c r="AD17" s="7">
        <f t="shared" ca="1" si="11"/>
        <v>222</v>
      </c>
      <c r="AF17" s="6">
        <f t="shared" si="12"/>
        <v>16</v>
      </c>
      <c r="AG17" s="6" t="s">
        <v>164</v>
      </c>
      <c r="AH17" s="6">
        <f t="shared" si="13"/>
        <v>2758</v>
      </c>
      <c r="AI17" s="6">
        <v>1295</v>
      </c>
      <c r="AJ17" s="6">
        <v>1463</v>
      </c>
      <c r="AK17" s="6">
        <f t="shared" si="14"/>
        <v>60.271316355419195</v>
      </c>
      <c r="AL17" s="6">
        <f t="shared" ca="1" si="15"/>
        <v>45</v>
      </c>
      <c r="AN17" s="6">
        <f t="shared" si="16"/>
        <v>16</v>
      </c>
      <c r="AO17" s="6" t="s">
        <v>219</v>
      </c>
      <c r="AP17" s="6">
        <f t="shared" si="17"/>
        <v>2529</v>
      </c>
      <c r="AQ17" s="6">
        <v>1157</v>
      </c>
      <c r="AR17" s="6">
        <v>1372</v>
      </c>
      <c r="AS17" s="6">
        <f t="shared" si="18"/>
        <v>1.602951586118277</v>
      </c>
      <c r="AT17" s="6">
        <f t="shared" ca="1" si="19"/>
        <v>1</v>
      </c>
    </row>
    <row r="18" spans="1:46" x14ac:dyDescent="0.3">
      <c r="A18" s="6">
        <f t="shared" si="24"/>
        <v>17</v>
      </c>
      <c r="B18" s="10" t="s">
        <v>120</v>
      </c>
      <c r="C18" s="10">
        <v>3551</v>
      </c>
      <c r="D18" s="10">
        <v>1617</v>
      </c>
      <c r="E18" s="10">
        <v>1934</v>
      </c>
      <c r="H18" s="6">
        <f t="shared" si="0"/>
        <v>17</v>
      </c>
      <c r="I18" s="6" t="s">
        <v>55</v>
      </c>
      <c r="J18" s="6">
        <f t="shared" si="1"/>
        <v>2109</v>
      </c>
      <c r="K18" s="6">
        <v>968</v>
      </c>
      <c r="L18" s="6">
        <v>1141</v>
      </c>
      <c r="M18" s="6">
        <f t="shared" si="2"/>
        <v>0.60438506799786196</v>
      </c>
      <c r="N18" s="6">
        <f t="shared" ca="1" si="3"/>
        <v>0</v>
      </c>
      <c r="O18" s="22"/>
      <c r="T18" s="6" t="s">
        <v>252</v>
      </c>
      <c r="V18" s="15">
        <v>46206</v>
      </c>
      <c r="X18" s="6">
        <f t="shared" si="8"/>
        <v>17</v>
      </c>
      <c r="Y18" s="6" t="s">
        <v>111</v>
      </c>
      <c r="Z18" s="6">
        <f t="shared" si="9"/>
        <v>3256</v>
      </c>
      <c r="AA18" s="6">
        <v>1525</v>
      </c>
      <c r="AB18" s="6">
        <v>1731</v>
      </c>
      <c r="AC18" s="6">
        <f t="shared" si="10"/>
        <v>11.677452353816648</v>
      </c>
      <c r="AD18" s="6">
        <f t="shared" ca="1" si="11"/>
        <v>3</v>
      </c>
      <c r="AF18" s="6">
        <f t="shared" si="12"/>
        <v>17</v>
      </c>
      <c r="AG18" s="6" t="s">
        <v>168</v>
      </c>
      <c r="AH18" s="6">
        <f t="shared" si="13"/>
        <v>2658</v>
      </c>
      <c r="AI18" s="6">
        <v>1264</v>
      </c>
      <c r="AJ18" s="6">
        <v>1394</v>
      </c>
      <c r="AK18" s="6">
        <f t="shared" si="14"/>
        <v>46.722374730600407</v>
      </c>
      <c r="AL18" s="6">
        <f t="shared" ca="1" si="15"/>
        <v>28</v>
      </c>
      <c r="AN18" s="6">
        <f t="shared" si="16"/>
        <v>17</v>
      </c>
      <c r="AO18" s="6" t="s">
        <v>208</v>
      </c>
      <c r="AP18" s="6">
        <f t="shared" ref="AP18:AP46" si="26">AQ18+AR18</f>
        <v>2526</v>
      </c>
      <c r="AQ18" s="6">
        <v>1151</v>
      </c>
      <c r="AR18" s="6">
        <v>1375</v>
      </c>
      <c r="AS18" s="6">
        <f t="shared" si="18"/>
        <v>1.5749005496024602</v>
      </c>
      <c r="AT18" s="6">
        <f t="shared" ca="1" si="19"/>
        <v>0</v>
      </c>
    </row>
    <row r="19" spans="1:46" x14ac:dyDescent="0.3">
      <c r="A19" s="6">
        <f t="shared" si="24"/>
        <v>18</v>
      </c>
      <c r="B19" s="23" t="s">
        <v>20</v>
      </c>
      <c r="C19" s="23">
        <v>3488</v>
      </c>
      <c r="D19" s="23">
        <v>1690</v>
      </c>
      <c r="E19" s="23">
        <v>1798</v>
      </c>
      <c r="H19" s="6">
        <f t="shared" si="0"/>
        <v>18</v>
      </c>
      <c r="I19" s="6" t="s">
        <v>80</v>
      </c>
      <c r="J19" s="6">
        <f t="shared" si="1"/>
        <v>2079</v>
      </c>
      <c r="K19" s="6">
        <v>981</v>
      </c>
      <c r="L19" s="6">
        <v>1098</v>
      </c>
      <c r="M19" s="6">
        <f t="shared" si="2"/>
        <v>0.41751515807621981</v>
      </c>
      <c r="N19" s="6">
        <f t="shared" ca="1" si="3"/>
        <v>0</v>
      </c>
      <c r="O19" s="22"/>
      <c r="T19" s="6" t="s">
        <v>255</v>
      </c>
      <c r="V19" s="15">
        <v>46184</v>
      </c>
      <c r="X19" s="6">
        <f t="shared" si="8"/>
        <v>18</v>
      </c>
      <c r="Y19" s="6" t="s">
        <v>115</v>
      </c>
      <c r="Z19" s="6">
        <f t="shared" si="9"/>
        <v>3301</v>
      </c>
      <c r="AA19" s="6">
        <v>1529</v>
      </c>
      <c r="AB19" s="6">
        <v>1772</v>
      </c>
      <c r="AC19" s="6">
        <f t="shared" si="10"/>
        <v>20.05463504611464</v>
      </c>
      <c r="AD19" s="6">
        <f t="shared" ca="1" si="11"/>
        <v>16</v>
      </c>
      <c r="AF19" s="6">
        <f t="shared" si="12"/>
        <v>18</v>
      </c>
      <c r="AG19" s="6" t="s">
        <v>169</v>
      </c>
      <c r="AH19" s="6">
        <f t="shared" si="13"/>
        <v>2626</v>
      </c>
      <c r="AI19" s="6">
        <v>1255</v>
      </c>
      <c r="AJ19" s="6">
        <v>1371</v>
      </c>
      <c r="AK19" s="6">
        <f t="shared" si="14"/>
        <v>42.943927219894398</v>
      </c>
      <c r="AL19" s="6">
        <f t="shared" ca="1" si="15"/>
        <v>39</v>
      </c>
      <c r="AN19" s="6">
        <f t="shared" si="16"/>
        <v>18</v>
      </c>
      <c r="AO19" s="6" t="s">
        <v>213</v>
      </c>
      <c r="AP19" s="6">
        <f t="shared" si="26"/>
        <v>2438</v>
      </c>
      <c r="AQ19" s="6">
        <v>1106</v>
      </c>
      <c r="AR19" s="6">
        <v>1332</v>
      </c>
      <c r="AS19" s="6">
        <f t="shared" si="18"/>
        <v>0.92683613897042649</v>
      </c>
      <c r="AT19" s="6">
        <f t="shared" ca="1" si="19"/>
        <v>0</v>
      </c>
    </row>
    <row r="20" spans="1:46" x14ac:dyDescent="0.3">
      <c r="A20" s="6">
        <f t="shared" si="24"/>
        <v>19</v>
      </c>
      <c r="B20" s="10" t="s">
        <v>107</v>
      </c>
      <c r="C20" s="10">
        <v>3488</v>
      </c>
      <c r="D20" s="10">
        <v>1619</v>
      </c>
      <c r="E20" s="10">
        <v>1869</v>
      </c>
      <c r="H20" s="6">
        <f t="shared" si="0"/>
        <v>19</v>
      </c>
      <c r="I20" s="6" t="s">
        <v>64</v>
      </c>
      <c r="J20" s="6">
        <f t="shared" si="1"/>
        <v>2066</v>
      </c>
      <c r="K20" s="6">
        <v>1036</v>
      </c>
      <c r="L20" s="6">
        <v>1030</v>
      </c>
      <c r="M20" s="6">
        <f t="shared" si="2"/>
        <v>0.35500296102045725</v>
      </c>
      <c r="N20" s="6">
        <f t="shared" ca="1" si="3"/>
        <v>0</v>
      </c>
      <c r="O20" s="22"/>
      <c r="X20" s="6">
        <f t="shared" si="8"/>
        <v>19</v>
      </c>
      <c r="Y20" s="6" t="s">
        <v>116</v>
      </c>
      <c r="Z20" s="6">
        <f t="shared" si="9"/>
        <v>3236</v>
      </c>
      <c r="AA20" s="6">
        <v>1502</v>
      </c>
      <c r="AB20" s="6">
        <v>1734</v>
      </c>
      <c r="AC20" s="6">
        <f t="shared" si="10"/>
        <v>9.1397747541057459</v>
      </c>
      <c r="AD20" s="6">
        <f t="shared" ca="1" si="11"/>
        <v>3</v>
      </c>
      <c r="AF20" s="6">
        <f t="shared" si="12"/>
        <v>19</v>
      </c>
      <c r="AG20" s="6" t="s">
        <v>166</v>
      </c>
      <c r="AH20" s="6">
        <f t="shared" si="13"/>
        <v>2807</v>
      </c>
      <c r="AI20" s="6">
        <v>1265</v>
      </c>
      <c r="AJ20" s="6">
        <v>1542</v>
      </c>
      <c r="AK20" s="6">
        <f t="shared" si="14"/>
        <v>67.947935414623757</v>
      </c>
      <c r="AL20" s="6">
        <f t="shared" ca="1" si="15"/>
        <v>16</v>
      </c>
      <c r="AN20" s="6">
        <f t="shared" ref="AN20:AN46" si="27">AN19+1</f>
        <v>19</v>
      </c>
      <c r="AO20" s="6" t="s">
        <v>275</v>
      </c>
      <c r="AP20" s="6">
        <f t="shared" si="26"/>
        <v>2762</v>
      </c>
      <c r="AQ20" s="6">
        <v>1283</v>
      </c>
      <c r="AR20" s="6">
        <v>1479</v>
      </c>
    </row>
    <row r="21" spans="1:46" x14ac:dyDescent="0.3">
      <c r="A21" s="6">
        <f t="shared" si="24"/>
        <v>20</v>
      </c>
      <c r="B21" s="13" t="s">
        <v>89</v>
      </c>
      <c r="C21" s="13">
        <v>3475</v>
      </c>
      <c r="D21" s="13">
        <v>1634</v>
      </c>
      <c r="E21" s="13">
        <v>1841</v>
      </c>
      <c r="H21" s="6">
        <f t="shared" si="0"/>
        <v>20</v>
      </c>
      <c r="I21" s="6" t="s">
        <v>77</v>
      </c>
      <c r="J21" s="6">
        <f t="shared" si="1"/>
        <v>1979</v>
      </c>
      <c r="K21" s="6">
        <v>976</v>
      </c>
      <c r="L21" s="6">
        <v>1003</v>
      </c>
      <c r="M21" s="6">
        <f t="shared" si="2"/>
        <v>0.11638609640182891</v>
      </c>
      <c r="N21" s="6">
        <f t="shared" ca="1" si="3"/>
        <v>0</v>
      </c>
      <c r="O21" s="22"/>
      <c r="X21" s="6">
        <f t="shared" si="8"/>
        <v>20</v>
      </c>
      <c r="Y21" s="6" t="s">
        <v>113</v>
      </c>
      <c r="Z21" s="6">
        <f t="shared" si="9"/>
        <v>3236</v>
      </c>
      <c r="AA21" s="6">
        <v>1526</v>
      </c>
      <c r="AB21" s="6">
        <v>1710</v>
      </c>
      <c r="AC21" s="6">
        <f t="shared" si="10"/>
        <v>9.1397747541057459</v>
      </c>
      <c r="AD21" s="6">
        <f t="shared" ca="1" si="11"/>
        <v>0</v>
      </c>
      <c r="AF21" s="6">
        <f t="shared" si="12"/>
        <v>20</v>
      </c>
      <c r="AG21" s="6" t="s">
        <v>167</v>
      </c>
      <c r="AH21" s="6">
        <f t="shared" si="13"/>
        <v>2657</v>
      </c>
      <c r="AI21" s="6">
        <v>1252</v>
      </c>
      <c r="AJ21" s="6">
        <v>1405</v>
      </c>
      <c r="AK21" s="6">
        <f t="shared" si="14"/>
        <v>46.600388441070585</v>
      </c>
      <c r="AL21" s="6">
        <f t="shared" ca="1" si="15"/>
        <v>45</v>
      </c>
      <c r="AN21" s="6">
        <f t="shared" si="27"/>
        <v>20</v>
      </c>
      <c r="AO21" s="6" t="s">
        <v>276</v>
      </c>
      <c r="AP21" s="6">
        <f t="shared" si="26"/>
        <v>2626</v>
      </c>
      <c r="AQ21" s="6">
        <v>1250</v>
      </c>
      <c r="AR21" s="6">
        <v>1376</v>
      </c>
    </row>
    <row r="22" spans="1:46" x14ac:dyDescent="0.3">
      <c r="A22" s="6">
        <f t="shared" si="24"/>
        <v>21</v>
      </c>
      <c r="B22" s="14" t="s">
        <v>152</v>
      </c>
      <c r="C22" s="14">
        <v>3469</v>
      </c>
      <c r="D22" s="14">
        <v>1653</v>
      </c>
      <c r="E22" s="14">
        <v>1816</v>
      </c>
      <c r="H22" s="6">
        <f t="shared" si="0"/>
        <v>21</v>
      </c>
      <c r="I22" s="6" t="s">
        <v>70</v>
      </c>
      <c r="J22" s="6">
        <f t="shared" si="1"/>
        <v>1980</v>
      </c>
      <c r="K22" s="6">
        <v>907</v>
      </c>
      <c r="L22" s="6">
        <v>1073</v>
      </c>
      <c r="M22" s="6">
        <f t="shared" si="2"/>
        <v>0.11792232165163949</v>
      </c>
      <c r="N22" s="6">
        <f t="shared" ca="1" si="3"/>
        <v>0</v>
      </c>
      <c r="X22" s="6">
        <f t="shared" si="8"/>
        <v>21</v>
      </c>
      <c r="Y22" s="6" t="s">
        <v>119</v>
      </c>
      <c r="Z22" s="6">
        <f t="shared" si="9"/>
        <v>3147</v>
      </c>
      <c r="AA22" s="6">
        <v>1467</v>
      </c>
      <c r="AB22" s="6">
        <v>1680</v>
      </c>
      <c r="AC22" s="6">
        <f t="shared" si="10"/>
        <v>2.9664421496491267</v>
      </c>
      <c r="AD22" s="6">
        <f t="shared" ca="1" si="11"/>
        <v>2</v>
      </c>
      <c r="AF22" s="6">
        <f t="shared" si="12"/>
        <v>21</v>
      </c>
      <c r="AG22" s="6" t="s">
        <v>170</v>
      </c>
      <c r="AH22" s="6">
        <f t="shared" si="13"/>
        <v>2575</v>
      </c>
      <c r="AI22" s="6">
        <v>1195</v>
      </c>
      <c r="AJ22" s="6">
        <v>1380</v>
      </c>
      <c r="AK22" s="6">
        <f t="shared" si="14"/>
        <v>37.435809362521184</v>
      </c>
      <c r="AL22" s="6">
        <f t="shared" ca="1" si="15"/>
        <v>6</v>
      </c>
      <c r="AN22" s="6">
        <f t="shared" si="27"/>
        <v>21</v>
      </c>
      <c r="AO22" s="6" t="s">
        <v>277</v>
      </c>
      <c r="AP22" s="6">
        <f t="shared" si="26"/>
        <v>2576</v>
      </c>
      <c r="AQ22" s="6">
        <v>1225</v>
      </c>
      <c r="AR22" s="6">
        <v>1351</v>
      </c>
    </row>
    <row r="23" spans="1:46" x14ac:dyDescent="0.3">
      <c r="A23" s="6">
        <f t="shared" si="24"/>
        <v>22</v>
      </c>
      <c r="B23" s="13" t="s">
        <v>91</v>
      </c>
      <c r="C23" s="13">
        <v>3463</v>
      </c>
      <c r="D23" s="13">
        <v>1592</v>
      </c>
      <c r="E23" s="13">
        <v>1871</v>
      </c>
      <c r="H23" s="6">
        <f t="shared" si="0"/>
        <v>22</v>
      </c>
      <c r="I23" s="6" t="s">
        <v>61</v>
      </c>
      <c r="J23" s="6">
        <f t="shared" si="1"/>
        <v>1881</v>
      </c>
      <c r="K23" s="6">
        <v>986</v>
      </c>
      <c r="L23" s="6">
        <v>895</v>
      </c>
      <c r="M23" s="6">
        <f t="shared" si="2"/>
        <v>3.1141539586570992E-2</v>
      </c>
      <c r="N23" s="6">
        <f t="shared" ca="1" si="3"/>
        <v>0</v>
      </c>
      <c r="X23" s="6">
        <f t="shared" si="8"/>
        <v>22</v>
      </c>
      <c r="Y23" s="6" t="s">
        <v>121</v>
      </c>
      <c r="Z23" s="6">
        <f t="shared" si="9"/>
        <v>3217</v>
      </c>
      <c r="AA23" s="6">
        <v>1473</v>
      </c>
      <c r="AB23" s="6">
        <v>1744</v>
      </c>
      <c r="AC23" s="6">
        <f t="shared" si="10"/>
        <v>7.2224811713323245</v>
      </c>
      <c r="AD23" s="6">
        <f t="shared" ca="1" si="11"/>
        <v>4</v>
      </c>
      <c r="AF23" s="6">
        <f t="shared" si="12"/>
        <v>22</v>
      </c>
      <c r="AG23" s="6" t="s">
        <v>171</v>
      </c>
      <c r="AH23" s="6">
        <f t="shared" si="13"/>
        <v>2560</v>
      </c>
      <c r="AI23" s="6">
        <v>1218</v>
      </c>
      <c r="AJ23" s="6">
        <v>1342</v>
      </c>
      <c r="AK23" s="6">
        <f t="shared" si="14"/>
        <v>35.930319112925787</v>
      </c>
      <c r="AL23" s="6">
        <f t="shared" ca="1" si="15"/>
        <v>13</v>
      </c>
      <c r="AN23" s="6">
        <f t="shared" si="27"/>
        <v>22</v>
      </c>
      <c r="AO23" s="6" t="s">
        <v>278</v>
      </c>
      <c r="AP23" s="6">
        <f t="shared" si="26"/>
        <v>2509</v>
      </c>
      <c r="AQ23" s="6">
        <v>1224</v>
      </c>
      <c r="AR23" s="6">
        <v>1285</v>
      </c>
    </row>
    <row r="24" spans="1:46" x14ac:dyDescent="0.3">
      <c r="A24" s="6">
        <f t="shared" si="24"/>
        <v>23</v>
      </c>
      <c r="B24" s="10" t="s">
        <v>110</v>
      </c>
      <c r="C24" s="10">
        <v>3434</v>
      </c>
      <c r="D24" s="10">
        <v>1582</v>
      </c>
      <c r="E24" s="10">
        <v>1852</v>
      </c>
      <c r="H24" s="6">
        <f t="shared" si="0"/>
        <v>23</v>
      </c>
      <c r="I24" s="6" t="s">
        <v>69</v>
      </c>
      <c r="J24" s="6">
        <f t="shared" si="1"/>
        <v>1888</v>
      </c>
      <c r="K24" s="6">
        <v>916</v>
      </c>
      <c r="L24" s="6">
        <v>972</v>
      </c>
      <c r="M24" s="6">
        <f t="shared" si="2"/>
        <v>3.4291584961410951E-2</v>
      </c>
      <c r="N24" s="6">
        <f t="shared" ca="1" si="3"/>
        <v>0</v>
      </c>
      <c r="X24" s="6">
        <f t="shared" si="8"/>
        <v>23</v>
      </c>
      <c r="Y24" s="6" t="s">
        <v>114</v>
      </c>
      <c r="Z24" s="6">
        <f t="shared" si="9"/>
        <v>3216</v>
      </c>
      <c r="AA24" s="6">
        <v>1506</v>
      </c>
      <c r="AB24" s="6">
        <v>1710</v>
      </c>
      <c r="AC24" s="6">
        <f t="shared" si="10"/>
        <v>7.1330232448730717</v>
      </c>
      <c r="AD24" s="6">
        <f t="shared" ca="1" si="11"/>
        <v>2</v>
      </c>
      <c r="AF24" s="6">
        <f t="shared" si="12"/>
        <v>23</v>
      </c>
      <c r="AG24" s="6" t="s">
        <v>179</v>
      </c>
      <c r="AH24" s="6">
        <f t="shared" si="13"/>
        <v>2561</v>
      </c>
      <c r="AI24" s="6">
        <v>1187</v>
      </c>
      <c r="AJ24" s="6">
        <v>1374</v>
      </c>
      <c r="AK24" s="6">
        <f t="shared" si="14"/>
        <v>36.029117892033312</v>
      </c>
      <c r="AL24" s="6">
        <f t="shared" ca="1" si="15"/>
        <v>13</v>
      </c>
      <c r="AN24" s="6">
        <f t="shared" si="27"/>
        <v>23</v>
      </c>
      <c r="AO24" s="6" t="s">
        <v>279</v>
      </c>
      <c r="AP24" s="6">
        <f t="shared" si="26"/>
        <v>2460</v>
      </c>
      <c r="AQ24" s="6">
        <v>1172</v>
      </c>
      <c r="AR24" s="6">
        <v>1288</v>
      </c>
    </row>
    <row r="25" spans="1:46" x14ac:dyDescent="0.3">
      <c r="A25" s="6">
        <f t="shared" si="24"/>
        <v>24</v>
      </c>
      <c r="B25" s="10" t="s">
        <v>108</v>
      </c>
      <c r="C25" s="10">
        <v>3419</v>
      </c>
      <c r="D25" s="10">
        <v>1598</v>
      </c>
      <c r="E25" s="10">
        <v>1821</v>
      </c>
      <c r="H25" s="6">
        <f t="shared" si="0"/>
        <v>24</v>
      </c>
      <c r="I25" s="6" t="s">
        <v>74</v>
      </c>
      <c r="J25" s="6">
        <f t="shared" si="1"/>
        <v>1831</v>
      </c>
      <c r="K25" s="6">
        <v>897</v>
      </c>
      <c r="L25" s="6">
        <v>934</v>
      </c>
      <c r="M25" s="6">
        <f t="shared" si="2"/>
        <v>1.5494284103549838E-2</v>
      </c>
      <c r="N25" s="6">
        <f t="shared" ca="1" si="3"/>
        <v>0</v>
      </c>
      <c r="X25" s="6">
        <f t="shared" si="8"/>
        <v>24</v>
      </c>
      <c r="Y25" s="6" t="s">
        <v>117</v>
      </c>
      <c r="Z25" s="6">
        <f t="shared" si="9"/>
        <v>3140</v>
      </c>
      <c r="AA25" s="6">
        <v>1473</v>
      </c>
      <c r="AB25" s="6">
        <v>1667</v>
      </c>
      <c r="AC25" s="6">
        <f t="shared" si="10"/>
        <v>2.7086117362896918</v>
      </c>
      <c r="AD25" s="6">
        <f t="shared" ca="1" si="11"/>
        <v>2</v>
      </c>
      <c r="AF25" s="6">
        <f t="shared" si="12"/>
        <v>24</v>
      </c>
      <c r="AG25" s="6" t="s">
        <v>175</v>
      </c>
      <c r="AH25" s="6">
        <f t="shared" si="13"/>
        <v>2493</v>
      </c>
      <c r="AI25" s="6">
        <v>1180</v>
      </c>
      <c r="AJ25" s="6">
        <v>1313</v>
      </c>
      <c r="AK25" s="6">
        <f t="shared" si="14"/>
        <v>29.799399843753825</v>
      </c>
      <c r="AL25" s="6">
        <f t="shared" ca="1" si="15"/>
        <v>7</v>
      </c>
      <c r="AN25" s="6">
        <f t="shared" si="27"/>
        <v>24</v>
      </c>
      <c r="AO25" s="6" t="s">
        <v>302</v>
      </c>
      <c r="AP25" s="6">
        <f t="shared" si="26"/>
        <v>2279</v>
      </c>
      <c r="AQ25" s="6">
        <v>1100</v>
      </c>
      <c r="AR25" s="6">
        <v>1179</v>
      </c>
    </row>
    <row r="26" spans="1:46" x14ac:dyDescent="0.3">
      <c r="A26" s="6">
        <f t="shared" si="24"/>
        <v>25</v>
      </c>
      <c r="B26" s="6" t="s">
        <v>216</v>
      </c>
      <c r="C26" s="6">
        <v>3376</v>
      </c>
      <c r="D26" s="6">
        <v>1581</v>
      </c>
      <c r="E26" s="6">
        <v>1795</v>
      </c>
      <c r="H26" s="6">
        <f t="shared" si="0"/>
        <v>25</v>
      </c>
      <c r="I26" s="6" t="s">
        <v>79</v>
      </c>
      <c r="J26" s="6">
        <f t="shared" si="1"/>
        <v>1807</v>
      </c>
      <c r="K26" s="6">
        <v>909</v>
      </c>
      <c r="L26" s="6">
        <v>898</v>
      </c>
      <c r="M26" s="6">
        <f t="shared" si="2"/>
        <v>1.1015269350120685E-2</v>
      </c>
      <c r="N26" s="6">
        <f t="shared" ca="1" si="3"/>
        <v>0</v>
      </c>
      <c r="X26" s="6">
        <f t="shared" si="8"/>
        <v>25</v>
      </c>
      <c r="Y26" s="6" t="s">
        <v>123</v>
      </c>
      <c r="Z26" s="6">
        <f t="shared" si="9"/>
        <v>3236</v>
      </c>
      <c r="AA26" s="6">
        <v>1491</v>
      </c>
      <c r="AB26" s="6">
        <v>1745</v>
      </c>
      <c r="AC26" s="6">
        <f t="shared" si="10"/>
        <v>9.1397747541057459</v>
      </c>
      <c r="AD26" s="6">
        <f t="shared" ca="1" si="11"/>
        <v>1</v>
      </c>
      <c r="AF26" s="6">
        <f t="shared" si="12"/>
        <v>25</v>
      </c>
      <c r="AG26" s="6" t="s">
        <v>174</v>
      </c>
      <c r="AH26" s="6">
        <f t="shared" si="13"/>
        <v>2582</v>
      </c>
      <c r="AI26" s="6">
        <v>1202</v>
      </c>
      <c r="AJ26" s="6">
        <v>1380</v>
      </c>
      <c r="AK26" s="6">
        <f t="shared" si="14"/>
        <v>38.155797650553289</v>
      </c>
      <c r="AL26" s="6">
        <f t="shared" ca="1" si="15"/>
        <v>9</v>
      </c>
      <c r="AN26" s="6">
        <f t="shared" si="27"/>
        <v>25</v>
      </c>
      <c r="AO26" s="6" t="s">
        <v>281</v>
      </c>
      <c r="AP26" s="6">
        <f t="shared" si="26"/>
        <v>2379</v>
      </c>
      <c r="AQ26" s="6">
        <v>1086</v>
      </c>
      <c r="AR26" s="6">
        <v>1293</v>
      </c>
    </row>
    <row r="27" spans="1:46" x14ac:dyDescent="0.3">
      <c r="A27" s="6">
        <f t="shared" si="24"/>
        <v>26</v>
      </c>
      <c r="B27" s="6" t="s">
        <v>203</v>
      </c>
      <c r="C27" s="6">
        <v>3373</v>
      </c>
      <c r="D27" s="6">
        <v>1609</v>
      </c>
      <c r="E27" s="6">
        <v>1764</v>
      </c>
      <c r="H27" s="6">
        <f t="shared" si="0"/>
        <v>26</v>
      </c>
      <c r="I27" s="6" t="s">
        <v>78</v>
      </c>
      <c r="J27" s="6">
        <f t="shared" si="1"/>
        <v>1854</v>
      </c>
      <c r="K27" s="6">
        <v>875</v>
      </c>
      <c r="L27" s="6">
        <v>979</v>
      </c>
      <c r="M27" s="6">
        <f t="shared" si="2"/>
        <v>2.1407066568962616E-2</v>
      </c>
      <c r="N27" s="6">
        <f t="shared" ca="1" si="3"/>
        <v>0</v>
      </c>
      <c r="X27" s="6">
        <f t="shared" si="8"/>
        <v>26</v>
      </c>
      <c r="Y27" s="6" t="s">
        <v>122</v>
      </c>
      <c r="Z27" s="6">
        <f t="shared" si="9"/>
        <v>3123</v>
      </c>
      <c r="AA27" s="6">
        <v>1441</v>
      </c>
      <c r="AB27" s="6">
        <v>1682</v>
      </c>
      <c r="AC27" s="6">
        <f t="shared" si="10"/>
        <v>2.1687269405601963</v>
      </c>
      <c r="AD27" s="6">
        <f t="shared" ca="1" si="11"/>
        <v>0</v>
      </c>
      <c r="AF27" s="6">
        <f t="shared" si="12"/>
        <v>26</v>
      </c>
      <c r="AG27" s="6" t="s">
        <v>173</v>
      </c>
      <c r="AH27" s="6">
        <f t="shared" si="13"/>
        <v>2451</v>
      </c>
      <c r="AI27" s="6">
        <v>1148</v>
      </c>
      <c r="AJ27" s="6">
        <v>1303</v>
      </c>
      <c r="AK27" s="6">
        <f t="shared" si="14"/>
        <v>26.418544675607468</v>
      </c>
      <c r="AL27" s="6">
        <f t="shared" ca="1" si="15"/>
        <v>0</v>
      </c>
      <c r="AN27" s="6">
        <f t="shared" si="27"/>
        <v>26</v>
      </c>
      <c r="AO27" s="6" t="s">
        <v>280</v>
      </c>
      <c r="AP27" s="6">
        <f t="shared" si="26"/>
        <v>2212</v>
      </c>
      <c r="AQ27" s="6">
        <v>1084</v>
      </c>
      <c r="AR27" s="6">
        <v>1128</v>
      </c>
    </row>
    <row r="28" spans="1:46" x14ac:dyDescent="0.3">
      <c r="A28" s="6">
        <f t="shared" si="24"/>
        <v>27</v>
      </c>
      <c r="B28" s="13" t="s">
        <v>92</v>
      </c>
      <c r="C28" s="13">
        <v>3365</v>
      </c>
      <c r="D28" s="13">
        <v>1542</v>
      </c>
      <c r="E28" s="13">
        <v>1823</v>
      </c>
      <c r="H28" s="6">
        <f t="shared" si="0"/>
        <v>27</v>
      </c>
      <c r="I28" s="6" t="s">
        <v>60</v>
      </c>
      <c r="J28" s="6">
        <f t="shared" si="1"/>
        <v>1650</v>
      </c>
      <c r="K28" s="6">
        <v>850</v>
      </c>
      <c r="L28" s="6">
        <v>800</v>
      </c>
      <c r="M28" s="6">
        <f t="shared" si="2"/>
        <v>1.0717590258310893E-3</v>
      </c>
      <c r="N28" s="6">
        <f t="shared" ca="1" si="3"/>
        <v>0</v>
      </c>
      <c r="X28" s="6">
        <f t="shared" si="8"/>
        <v>27</v>
      </c>
      <c r="Y28" s="6" t="s">
        <v>118</v>
      </c>
      <c r="Z28" s="6">
        <f t="shared" si="9"/>
        <v>3094</v>
      </c>
      <c r="AA28" s="6">
        <v>1455</v>
      </c>
      <c r="AB28" s="6">
        <v>1639</v>
      </c>
      <c r="AC28" s="6">
        <f t="shared" si="10"/>
        <v>1.4771437955060012</v>
      </c>
      <c r="AD28" s="6">
        <f t="shared" ca="1" si="11"/>
        <v>1</v>
      </c>
      <c r="AF28" s="6">
        <f t="shared" si="12"/>
        <v>27</v>
      </c>
      <c r="AG28" s="6" t="s">
        <v>176</v>
      </c>
      <c r="AH28" s="6">
        <f t="shared" si="13"/>
        <v>2505</v>
      </c>
      <c r="AI28" s="6">
        <v>1176</v>
      </c>
      <c r="AJ28" s="6">
        <v>1329</v>
      </c>
      <c r="AK28" s="6">
        <f t="shared" si="14"/>
        <v>30.828802063065595</v>
      </c>
      <c r="AL28" s="6">
        <f t="shared" ca="1" si="15"/>
        <v>26</v>
      </c>
      <c r="AN28" s="6">
        <f t="shared" si="27"/>
        <v>27</v>
      </c>
      <c r="AO28" s="6" t="s">
        <v>282</v>
      </c>
      <c r="AP28" s="6">
        <f t="shared" si="26"/>
        <v>2287</v>
      </c>
      <c r="AQ28" s="6">
        <v>1078</v>
      </c>
      <c r="AR28" s="6">
        <v>1209</v>
      </c>
    </row>
    <row r="29" spans="1:46" x14ac:dyDescent="0.3">
      <c r="A29" s="6">
        <f t="shared" si="24"/>
        <v>28</v>
      </c>
      <c r="B29" s="14" t="s">
        <v>156</v>
      </c>
      <c r="C29" s="14">
        <v>3352</v>
      </c>
      <c r="D29" s="14">
        <v>1585</v>
      </c>
      <c r="E29" s="14">
        <v>1767</v>
      </c>
      <c r="H29" s="6">
        <f t="shared" si="0"/>
        <v>28</v>
      </c>
      <c r="I29" s="6" t="s">
        <v>65</v>
      </c>
      <c r="J29" s="6">
        <f t="shared" si="1"/>
        <v>1471</v>
      </c>
      <c r="K29" s="6">
        <v>786</v>
      </c>
      <c r="L29" s="6">
        <v>685</v>
      </c>
      <c r="M29" s="6">
        <f t="shared" si="2"/>
        <v>6.1098789812679874E-5</v>
      </c>
      <c r="N29" s="6">
        <f t="shared" ca="1" si="3"/>
        <v>0</v>
      </c>
      <c r="X29" s="6">
        <f t="shared" si="8"/>
        <v>28</v>
      </c>
      <c r="Y29" s="6" t="s">
        <v>124</v>
      </c>
      <c r="Z29" s="6">
        <f t="shared" si="9"/>
        <v>3140</v>
      </c>
      <c r="AA29" s="6">
        <v>1441</v>
      </c>
      <c r="AB29" s="6">
        <v>1699</v>
      </c>
      <c r="AC29" s="6">
        <f t="shared" si="10"/>
        <v>2.7086117362896918</v>
      </c>
      <c r="AD29" s="6">
        <f t="shared" ca="1" si="11"/>
        <v>0</v>
      </c>
      <c r="AF29" s="6">
        <f t="shared" si="12"/>
        <v>28</v>
      </c>
      <c r="AG29" s="6" t="s">
        <v>172</v>
      </c>
      <c r="AH29" s="6">
        <f t="shared" si="13"/>
        <v>2548</v>
      </c>
      <c r="AI29" s="6">
        <v>1185</v>
      </c>
      <c r="AJ29" s="6">
        <v>1363</v>
      </c>
      <c r="AK29" s="6">
        <f t="shared" si="14"/>
        <v>34.761954743165511</v>
      </c>
      <c r="AL29" s="6">
        <f t="shared" ca="1" si="15"/>
        <v>24</v>
      </c>
      <c r="AN29" s="6">
        <f t="shared" si="27"/>
        <v>28</v>
      </c>
      <c r="AO29" s="6" t="s">
        <v>283</v>
      </c>
      <c r="AP29" s="6">
        <f t="shared" si="26"/>
        <v>2260</v>
      </c>
      <c r="AQ29" s="6">
        <v>1065</v>
      </c>
      <c r="AR29" s="6">
        <v>1195</v>
      </c>
    </row>
    <row r="30" spans="1:46" x14ac:dyDescent="0.3">
      <c r="A30" s="6">
        <f t="shared" si="24"/>
        <v>29</v>
      </c>
      <c r="B30" s="14" t="s">
        <v>153</v>
      </c>
      <c r="C30" s="14">
        <v>3344</v>
      </c>
      <c r="D30" s="14">
        <v>1597</v>
      </c>
      <c r="E30" s="14">
        <v>1747</v>
      </c>
      <c r="H30" s="6">
        <f t="shared" si="0"/>
        <v>29</v>
      </c>
      <c r="I30" s="6" t="s">
        <v>266</v>
      </c>
      <c r="J30" s="6">
        <f t="shared" si="1"/>
        <v>1460</v>
      </c>
      <c r="K30" s="6">
        <v>803</v>
      </c>
      <c r="L30" s="6">
        <v>657</v>
      </c>
      <c r="M30" s="6">
        <f t="shared" si="2"/>
        <v>5.0866697934245246E-5</v>
      </c>
      <c r="N30" s="6">
        <f t="shared" ca="1" si="3"/>
        <v>0</v>
      </c>
      <c r="X30" s="6">
        <f t="shared" si="8"/>
        <v>29</v>
      </c>
      <c r="Y30" s="6" t="s">
        <v>130</v>
      </c>
      <c r="Z30" s="6">
        <f t="shared" si="9"/>
        <v>2970</v>
      </c>
      <c r="AA30" s="6">
        <v>1365</v>
      </c>
      <c r="AB30" s="6">
        <v>1605</v>
      </c>
      <c r="AC30" s="6">
        <f t="shared" si="10"/>
        <v>0.26696796777603321</v>
      </c>
      <c r="AD30" s="6">
        <f t="shared" ca="1" si="11"/>
        <v>0</v>
      </c>
      <c r="AF30" s="6">
        <f t="shared" si="12"/>
        <v>29</v>
      </c>
      <c r="AG30" s="6" t="s">
        <v>182</v>
      </c>
      <c r="AH30" s="6">
        <f t="shared" si="13"/>
        <v>2602</v>
      </c>
      <c r="AI30" s="6">
        <v>1182</v>
      </c>
      <c r="AJ30" s="6">
        <v>1420</v>
      </c>
      <c r="AK30" s="6">
        <f t="shared" si="14"/>
        <v>40.275322453389201</v>
      </c>
      <c r="AL30" s="6">
        <f t="shared" ca="1" si="15"/>
        <v>28</v>
      </c>
      <c r="AN30" s="6">
        <f t="shared" si="27"/>
        <v>29</v>
      </c>
      <c r="AO30" s="6" t="s">
        <v>284</v>
      </c>
      <c r="AP30" s="6">
        <f t="shared" si="26"/>
        <v>2191</v>
      </c>
      <c r="AQ30" s="6">
        <v>1057</v>
      </c>
      <c r="AR30" s="6">
        <v>1134</v>
      </c>
    </row>
    <row r="31" spans="1:46" x14ac:dyDescent="0.3">
      <c r="A31" s="6">
        <f t="shared" si="24"/>
        <v>30</v>
      </c>
      <c r="B31" s="23" t="s">
        <v>19</v>
      </c>
      <c r="C31" s="23">
        <v>3335</v>
      </c>
      <c r="D31" s="23">
        <v>1571</v>
      </c>
      <c r="E31" s="23">
        <v>1764</v>
      </c>
      <c r="H31" s="6">
        <f t="shared" si="0"/>
        <v>30</v>
      </c>
      <c r="I31" s="6" t="s">
        <v>274</v>
      </c>
      <c r="J31" s="6">
        <f t="shared" si="1"/>
        <v>1407</v>
      </c>
      <c r="K31" s="6">
        <v>779</v>
      </c>
      <c r="L31" s="6">
        <v>628</v>
      </c>
      <c r="M31" s="6">
        <f t="shared" si="2"/>
        <v>2.0787083806442041E-5</v>
      </c>
      <c r="N31" s="6">
        <f t="shared" ca="1" si="3"/>
        <v>0</v>
      </c>
      <c r="X31" s="6">
        <f t="shared" si="8"/>
        <v>30</v>
      </c>
      <c r="Y31" s="6" t="s">
        <v>127</v>
      </c>
      <c r="Z31" s="6">
        <f t="shared" si="9"/>
        <v>2992</v>
      </c>
      <c r="AA31" s="6">
        <v>1376</v>
      </c>
      <c r="AB31" s="6">
        <v>1616</v>
      </c>
      <c r="AC31" s="6">
        <f t="shared" si="10"/>
        <v>0.36459299784865379</v>
      </c>
      <c r="AD31" s="6">
        <f t="shared" ca="1" si="11"/>
        <v>0</v>
      </c>
      <c r="AF31" s="6">
        <f t="shared" si="12"/>
        <v>30</v>
      </c>
      <c r="AG31" s="6" t="s">
        <v>189</v>
      </c>
      <c r="AH31" s="6">
        <f t="shared" si="13"/>
        <v>2578</v>
      </c>
      <c r="AI31" s="6">
        <v>1159</v>
      </c>
      <c r="AJ31" s="6">
        <v>1419</v>
      </c>
      <c r="AK31" s="6">
        <f t="shared" si="14"/>
        <v>37.743005417611847</v>
      </c>
      <c r="AL31" s="6">
        <f t="shared" ca="1" si="15"/>
        <v>30</v>
      </c>
      <c r="AN31" s="6">
        <f t="shared" si="27"/>
        <v>30</v>
      </c>
      <c r="AO31" s="6" t="s">
        <v>285</v>
      </c>
      <c r="AP31" s="6">
        <f t="shared" si="26"/>
        <v>2125</v>
      </c>
      <c r="AQ31" s="6">
        <v>1024</v>
      </c>
      <c r="AR31" s="6">
        <v>1101</v>
      </c>
    </row>
    <row r="32" spans="1:46" x14ac:dyDescent="0.3">
      <c r="A32" s="6">
        <f t="shared" si="24"/>
        <v>31</v>
      </c>
      <c r="B32" s="14" t="s">
        <v>157</v>
      </c>
      <c r="C32" s="14">
        <v>3332</v>
      </c>
      <c r="D32" s="14">
        <v>1576</v>
      </c>
      <c r="E32" s="14">
        <v>1756</v>
      </c>
      <c r="H32" s="6">
        <f t="shared" si="0"/>
        <v>31</v>
      </c>
      <c r="I32" s="6" t="s">
        <v>75</v>
      </c>
      <c r="J32" s="6">
        <f t="shared" si="1"/>
        <v>1520</v>
      </c>
      <c r="K32" s="6">
        <v>777</v>
      </c>
      <c r="L32" s="6">
        <v>743</v>
      </c>
      <c r="M32" s="6">
        <f t="shared" si="2"/>
        <v>1.368289422353315E-4</v>
      </c>
      <c r="N32" s="6">
        <f t="shared" ca="1" si="3"/>
        <v>0</v>
      </c>
      <c r="X32" s="6">
        <f t="shared" si="8"/>
        <v>31</v>
      </c>
      <c r="Y32" s="6" t="s">
        <v>126</v>
      </c>
      <c r="Z32" s="6">
        <f t="shared" si="9"/>
        <v>3009</v>
      </c>
      <c r="AA32" s="6">
        <v>1355</v>
      </c>
      <c r="AB32" s="6">
        <v>1654</v>
      </c>
      <c r="AC32" s="6">
        <f t="shared" si="10"/>
        <v>0.46275541059387004</v>
      </c>
      <c r="AD32" s="6">
        <f t="shared" ca="1" si="11"/>
        <v>0</v>
      </c>
      <c r="AF32" s="6">
        <f t="shared" si="12"/>
        <v>31</v>
      </c>
      <c r="AG32" s="6" t="s">
        <v>181</v>
      </c>
      <c r="AH32" s="6">
        <f t="shared" si="13"/>
        <v>2507</v>
      </c>
      <c r="AI32" s="6">
        <v>1157</v>
      </c>
      <c r="AJ32" s="6">
        <v>1350</v>
      </c>
      <c r="AK32" s="6">
        <f t="shared" si="14"/>
        <v>31.00319831158362</v>
      </c>
      <c r="AL32" s="6">
        <f t="shared" ca="1" si="15"/>
        <v>6</v>
      </c>
      <c r="AN32" s="6">
        <f t="shared" si="27"/>
        <v>31</v>
      </c>
      <c r="AO32" s="6" t="s">
        <v>286</v>
      </c>
      <c r="AP32" s="6">
        <f t="shared" si="26"/>
        <v>1994</v>
      </c>
      <c r="AQ32" s="6">
        <v>1010</v>
      </c>
      <c r="AR32" s="6">
        <v>984</v>
      </c>
    </row>
    <row r="33" spans="1:44" x14ac:dyDescent="0.3">
      <c r="A33" s="6">
        <f t="shared" si="24"/>
        <v>32</v>
      </c>
      <c r="B33" s="10" t="s">
        <v>109</v>
      </c>
      <c r="C33" s="10">
        <v>3329</v>
      </c>
      <c r="D33" s="10">
        <v>1549</v>
      </c>
      <c r="E33" s="10">
        <v>1780</v>
      </c>
      <c r="H33" s="6">
        <f t="shared" si="0"/>
        <v>32</v>
      </c>
      <c r="I33" s="6" t="s">
        <v>85</v>
      </c>
      <c r="J33" s="6">
        <f t="shared" si="1"/>
        <v>1406</v>
      </c>
      <c r="K33" s="6">
        <v>760</v>
      </c>
      <c r="L33" s="6">
        <v>646</v>
      </c>
      <c r="M33" s="6">
        <f t="shared" si="2"/>
        <v>2.0435216384491329E-5</v>
      </c>
      <c r="N33" s="6">
        <f t="shared" ca="1" si="3"/>
        <v>0</v>
      </c>
      <c r="X33" s="6">
        <f t="shared" si="8"/>
        <v>32</v>
      </c>
      <c r="Y33" s="6" t="s">
        <v>125</v>
      </c>
      <c r="Z33" s="6">
        <f t="shared" si="9"/>
        <v>2877</v>
      </c>
      <c r="AA33" s="6">
        <v>1341</v>
      </c>
      <c r="AB33" s="6">
        <v>1536</v>
      </c>
      <c r="AC33" s="6">
        <f t="shared" si="10"/>
        <v>6.8774086926398359E-2</v>
      </c>
      <c r="AD33" s="6">
        <f t="shared" ca="1" si="11"/>
        <v>0</v>
      </c>
      <c r="AF33" s="6">
        <f t="shared" si="12"/>
        <v>32</v>
      </c>
      <c r="AG33" s="6" t="s">
        <v>185</v>
      </c>
      <c r="AH33" s="6">
        <f t="shared" si="13"/>
        <v>2557</v>
      </c>
      <c r="AI33" s="6">
        <v>1175</v>
      </c>
      <c r="AJ33" s="6">
        <v>1382</v>
      </c>
      <c r="AK33" s="6">
        <f t="shared" si="14"/>
        <v>35.635253678191134</v>
      </c>
      <c r="AL33" s="6">
        <f t="shared" ca="1" si="15"/>
        <v>30</v>
      </c>
      <c r="AN33" s="6">
        <f t="shared" si="27"/>
        <v>32</v>
      </c>
      <c r="AO33" s="6" t="s">
        <v>287</v>
      </c>
      <c r="AP33" s="6">
        <f t="shared" si="26"/>
        <v>1929</v>
      </c>
      <c r="AQ33" s="6">
        <v>968</v>
      </c>
      <c r="AR33" s="6">
        <v>961</v>
      </c>
    </row>
    <row r="34" spans="1:44" x14ac:dyDescent="0.3">
      <c r="A34" s="6">
        <f t="shared" si="24"/>
        <v>33</v>
      </c>
      <c r="B34" s="10" t="s">
        <v>115</v>
      </c>
      <c r="C34" s="10">
        <v>3301</v>
      </c>
      <c r="D34" s="10">
        <v>1529</v>
      </c>
      <c r="E34" s="10">
        <v>1772</v>
      </c>
      <c r="H34" s="6">
        <f t="shared" si="0"/>
        <v>33</v>
      </c>
      <c r="I34" s="6" t="s">
        <v>260</v>
      </c>
      <c r="J34" s="6">
        <f t="shared" si="1"/>
        <v>1312</v>
      </c>
      <c r="K34" s="6">
        <v>0</v>
      </c>
      <c r="L34" s="6">
        <v>1312</v>
      </c>
      <c r="M34" s="6">
        <f t="shared" si="2"/>
        <v>3.9805603025677127E-6</v>
      </c>
      <c r="N34" s="6">
        <f t="shared" ca="1" si="3"/>
        <v>0</v>
      </c>
      <c r="X34" s="6">
        <f t="shared" ref="X34:X56" si="28">X33+1</f>
        <v>33</v>
      </c>
      <c r="Y34" s="6" t="s">
        <v>132</v>
      </c>
      <c r="Z34" s="6">
        <f t="shared" ref="Z34:Z56" si="29">AA34+AB34</f>
        <v>3013</v>
      </c>
      <c r="AA34" s="6">
        <v>1408</v>
      </c>
      <c r="AB34" s="6">
        <v>1605</v>
      </c>
      <c r="AC34" s="6">
        <f t="shared" ref="AC34:AC56" si="30">_xlfn.NORM.DIST(Z34,4800,365,TRUE)*1000000</f>
        <v>0.48930797289715838</v>
      </c>
      <c r="AD34" s="6">
        <f t="shared" ref="AD34:AD56" ca="1" si="31">RANDBETWEEN(0,AC34)</f>
        <v>0</v>
      </c>
      <c r="AF34" s="6">
        <f t="shared" ref="AF34:AF54" si="32">AF33+1</f>
        <v>33</v>
      </c>
      <c r="AG34" s="6" t="s">
        <v>180</v>
      </c>
      <c r="AH34" s="6">
        <f t="shared" ref="AH34:AH54" si="33">AI34+AJ34+0</f>
        <v>2531</v>
      </c>
      <c r="AI34" s="6">
        <v>1152</v>
      </c>
      <c r="AJ34" s="6">
        <v>1379</v>
      </c>
      <c r="AK34" s="6">
        <f t="shared" ref="AK34:AK56" si="34">_xlfn.NORM.DIST(AH34,4000,800,TRUE)*1000</f>
        <v>33.160345446543765</v>
      </c>
      <c r="AL34" s="6">
        <f t="shared" ref="AL34:AL56" ca="1" si="35">RANDBETWEEN(0,AK34)</f>
        <v>32</v>
      </c>
      <c r="AN34" s="6">
        <f t="shared" si="27"/>
        <v>33</v>
      </c>
      <c r="AO34" s="6" t="s">
        <v>288</v>
      </c>
      <c r="AP34" s="6">
        <f t="shared" si="26"/>
        <v>1744</v>
      </c>
      <c r="AQ34" s="6">
        <v>943</v>
      </c>
      <c r="AR34" s="6">
        <v>801</v>
      </c>
    </row>
    <row r="35" spans="1:44" x14ac:dyDescent="0.3">
      <c r="A35" s="6">
        <f t="shared" si="24"/>
        <v>34</v>
      </c>
      <c r="B35" s="14" t="s">
        <v>154</v>
      </c>
      <c r="C35" s="14">
        <v>3292</v>
      </c>
      <c r="D35" s="14">
        <v>1565</v>
      </c>
      <c r="E35" s="14">
        <v>1727</v>
      </c>
      <c r="H35" s="6">
        <f t="shared" si="0"/>
        <v>34</v>
      </c>
      <c r="I35" s="6" t="s">
        <v>261</v>
      </c>
      <c r="J35" s="6">
        <f t="shared" si="1"/>
        <v>1338</v>
      </c>
      <c r="K35" s="6">
        <v>0</v>
      </c>
      <c r="L35" s="6">
        <v>1338</v>
      </c>
      <c r="M35" s="6">
        <f t="shared" si="2"/>
        <v>6.2967870421448331E-6</v>
      </c>
      <c r="N35" s="6">
        <f t="shared" ca="1" si="3"/>
        <v>0</v>
      </c>
      <c r="X35" s="6">
        <f t="shared" si="28"/>
        <v>34</v>
      </c>
      <c r="Y35" s="6" t="s">
        <v>128</v>
      </c>
      <c r="Z35" s="6">
        <f t="shared" si="29"/>
        <v>2910</v>
      </c>
      <c r="AA35" s="6">
        <v>1342</v>
      </c>
      <c r="AB35" s="6">
        <v>1568</v>
      </c>
      <c r="AC35" s="6">
        <f t="shared" si="30"/>
        <v>0.1120892343796133</v>
      </c>
      <c r="AD35" s="6">
        <f t="shared" ca="1" si="31"/>
        <v>0</v>
      </c>
      <c r="AF35" s="6">
        <f t="shared" si="32"/>
        <v>34</v>
      </c>
      <c r="AG35" s="6" t="s">
        <v>184</v>
      </c>
      <c r="AH35" s="6">
        <f t="shared" si="33"/>
        <v>2488</v>
      </c>
      <c r="AI35" s="6">
        <v>1147</v>
      </c>
      <c r="AJ35" s="6">
        <v>1341</v>
      </c>
      <c r="AK35" s="6">
        <f t="shared" si="34"/>
        <v>29.378980040409424</v>
      </c>
      <c r="AL35" s="6">
        <f t="shared" ca="1" si="35"/>
        <v>2</v>
      </c>
      <c r="AN35" s="6">
        <f t="shared" si="27"/>
        <v>34</v>
      </c>
      <c r="AO35" s="6" t="s">
        <v>289</v>
      </c>
      <c r="AP35" s="6">
        <f t="shared" si="26"/>
        <v>923</v>
      </c>
      <c r="AQ35" s="6">
        <v>923</v>
      </c>
      <c r="AR35" s="6">
        <v>0</v>
      </c>
    </row>
    <row r="36" spans="1:44" x14ac:dyDescent="0.3">
      <c r="A36" s="6">
        <f t="shared" si="24"/>
        <v>35</v>
      </c>
      <c r="B36" s="6" t="s">
        <v>209</v>
      </c>
      <c r="C36" s="6">
        <v>3281</v>
      </c>
      <c r="D36" s="6">
        <v>1558</v>
      </c>
      <c r="E36" s="6">
        <v>1723</v>
      </c>
      <c r="H36" s="6">
        <f t="shared" si="0"/>
        <v>35</v>
      </c>
      <c r="I36" s="6" t="s">
        <v>262</v>
      </c>
      <c r="J36" s="6">
        <f t="shared" si="1"/>
        <v>1223</v>
      </c>
      <c r="K36" s="6">
        <v>0</v>
      </c>
      <c r="L36" s="6">
        <v>1223</v>
      </c>
      <c r="M36" s="6">
        <f t="shared" si="2"/>
        <v>7.9923316891729618E-7</v>
      </c>
      <c r="N36" s="6">
        <f t="shared" ca="1" si="3"/>
        <v>0</v>
      </c>
      <c r="X36" s="6">
        <f t="shared" si="28"/>
        <v>35</v>
      </c>
      <c r="Y36" s="6" t="s">
        <v>133</v>
      </c>
      <c r="Z36" s="6">
        <f t="shared" si="29"/>
        <v>2980</v>
      </c>
      <c r="AA36" s="6">
        <v>1333</v>
      </c>
      <c r="AB36" s="6">
        <v>1647</v>
      </c>
      <c r="AC36" s="6">
        <f t="shared" si="30"/>
        <v>0.30773058886174814</v>
      </c>
      <c r="AD36" s="6">
        <f t="shared" ca="1" si="31"/>
        <v>0</v>
      </c>
      <c r="AF36" s="6">
        <f t="shared" si="32"/>
        <v>35</v>
      </c>
      <c r="AG36" s="6" t="s">
        <v>183</v>
      </c>
      <c r="AH36" s="6">
        <f t="shared" si="33"/>
        <v>2491</v>
      </c>
      <c r="AI36" s="6">
        <v>1119</v>
      </c>
      <c r="AJ36" s="6">
        <v>1372</v>
      </c>
      <c r="AK36" s="6">
        <f t="shared" si="34"/>
        <v>29.630636796714324</v>
      </c>
      <c r="AL36" s="6">
        <f t="shared" ca="1" si="35"/>
        <v>4</v>
      </c>
      <c r="AN36" s="6">
        <f t="shared" si="27"/>
        <v>35</v>
      </c>
      <c r="AO36" s="6" t="s">
        <v>290</v>
      </c>
      <c r="AP36" s="6">
        <f t="shared" si="26"/>
        <v>1793</v>
      </c>
      <c r="AQ36" s="6">
        <v>922</v>
      </c>
      <c r="AR36" s="6">
        <v>871</v>
      </c>
    </row>
    <row r="37" spans="1:44" x14ac:dyDescent="0.3">
      <c r="A37" s="6">
        <f t="shared" si="24"/>
        <v>36</v>
      </c>
      <c r="B37" s="10" t="s">
        <v>111</v>
      </c>
      <c r="C37" s="10">
        <v>3256</v>
      </c>
      <c r="D37" s="10">
        <v>1525</v>
      </c>
      <c r="E37" s="10">
        <v>1731</v>
      </c>
      <c r="H37" s="6">
        <f t="shared" si="0"/>
        <v>36</v>
      </c>
      <c r="I37" s="6" t="s">
        <v>263</v>
      </c>
      <c r="J37" s="6">
        <f t="shared" si="1"/>
        <v>1042</v>
      </c>
      <c r="K37" s="6">
        <v>0</v>
      </c>
      <c r="L37" s="6">
        <v>1042</v>
      </c>
      <c r="M37" s="6">
        <f t="shared" si="2"/>
        <v>2.5740144811681472E-8</v>
      </c>
      <c r="N37" s="6">
        <f t="shared" ca="1" si="3"/>
        <v>0</v>
      </c>
      <c r="X37" s="6">
        <f t="shared" si="28"/>
        <v>36</v>
      </c>
      <c r="Y37" s="6" t="s">
        <v>129</v>
      </c>
      <c r="Z37" s="6">
        <f t="shared" si="29"/>
        <v>2963</v>
      </c>
      <c r="AA37" s="6">
        <v>1365</v>
      </c>
      <c r="AB37" s="6">
        <v>1598</v>
      </c>
      <c r="AC37" s="6">
        <f t="shared" si="30"/>
        <v>0.24158694076951825</v>
      </c>
      <c r="AD37" s="6">
        <f t="shared" ca="1" si="31"/>
        <v>0</v>
      </c>
      <c r="AF37" s="6">
        <f t="shared" si="32"/>
        <v>36</v>
      </c>
      <c r="AG37" s="6" t="s">
        <v>188</v>
      </c>
      <c r="AH37" s="6">
        <f t="shared" si="33"/>
        <v>2361</v>
      </c>
      <c r="AI37" s="6">
        <v>1122</v>
      </c>
      <c r="AJ37" s="6">
        <v>1239</v>
      </c>
      <c r="AK37" s="6">
        <f t="shared" si="34"/>
        <v>20.243283623272585</v>
      </c>
      <c r="AL37" s="6">
        <f t="shared" ca="1" si="35"/>
        <v>17</v>
      </c>
      <c r="AN37" s="6">
        <f t="shared" si="27"/>
        <v>36</v>
      </c>
      <c r="AO37" s="6" t="s">
        <v>291</v>
      </c>
      <c r="AP37" s="6">
        <f t="shared" si="26"/>
        <v>1807</v>
      </c>
      <c r="AQ37" s="6">
        <v>914</v>
      </c>
      <c r="AR37" s="6">
        <v>893</v>
      </c>
    </row>
    <row r="38" spans="1:44" x14ac:dyDescent="0.3">
      <c r="A38" s="6">
        <f t="shared" si="24"/>
        <v>37</v>
      </c>
      <c r="B38" s="10" t="s">
        <v>116</v>
      </c>
      <c r="C38" s="10">
        <v>3236</v>
      </c>
      <c r="D38" s="10">
        <v>1502</v>
      </c>
      <c r="E38" s="10">
        <v>1734</v>
      </c>
      <c r="H38" s="6">
        <f t="shared" si="0"/>
        <v>37</v>
      </c>
      <c r="I38" s="6" t="s">
        <v>264</v>
      </c>
      <c r="J38" s="6">
        <f t="shared" si="1"/>
        <v>975</v>
      </c>
      <c r="K38" s="6">
        <v>0</v>
      </c>
      <c r="L38" s="6">
        <v>975</v>
      </c>
      <c r="M38" s="6">
        <f t="shared" si="2"/>
        <v>6.809224890620018E-9</v>
      </c>
      <c r="N38" s="6">
        <f t="shared" ca="1" si="3"/>
        <v>0</v>
      </c>
      <c r="X38" s="6">
        <f t="shared" si="28"/>
        <v>37</v>
      </c>
      <c r="Y38" s="6" t="s">
        <v>131</v>
      </c>
      <c r="Z38" s="6">
        <f t="shared" si="29"/>
        <v>2762</v>
      </c>
      <c r="AA38" s="6">
        <v>1301</v>
      </c>
      <c r="AB38" s="6">
        <v>1461</v>
      </c>
      <c r="AC38" s="6">
        <f t="shared" si="30"/>
        <v>1.1782110056049719E-2</v>
      </c>
      <c r="AD38" s="6">
        <f t="shared" ca="1" si="31"/>
        <v>0</v>
      </c>
      <c r="AF38" s="6">
        <f t="shared" si="32"/>
        <v>37</v>
      </c>
      <c r="AG38" s="6" t="s">
        <v>187</v>
      </c>
      <c r="AH38" s="6">
        <f t="shared" si="33"/>
        <v>2462</v>
      </c>
      <c r="AI38" s="6">
        <v>1126</v>
      </c>
      <c r="AJ38" s="6">
        <v>1336</v>
      </c>
      <c r="AK38" s="6">
        <f t="shared" si="34"/>
        <v>27.271436797920394</v>
      </c>
      <c r="AL38" s="6">
        <f t="shared" ca="1" si="35"/>
        <v>26</v>
      </c>
      <c r="AN38" s="6">
        <f t="shared" si="27"/>
        <v>37</v>
      </c>
      <c r="AO38" s="6" t="s">
        <v>292</v>
      </c>
      <c r="AP38" s="6">
        <f t="shared" si="26"/>
        <v>1844</v>
      </c>
      <c r="AQ38" s="6">
        <v>902</v>
      </c>
      <c r="AR38" s="6">
        <v>942</v>
      </c>
    </row>
    <row r="39" spans="1:44" x14ac:dyDescent="0.3">
      <c r="A39" s="6">
        <f t="shared" si="24"/>
        <v>38</v>
      </c>
      <c r="B39" s="10" t="s">
        <v>113</v>
      </c>
      <c r="C39" s="10">
        <v>3236</v>
      </c>
      <c r="D39" s="10">
        <v>1526</v>
      </c>
      <c r="E39" s="10">
        <v>1710</v>
      </c>
      <c r="H39" s="6">
        <f t="shared" si="0"/>
        <v>38</v>
      </c>
      <c r="I39" s="6" t="s">
        <v>265</v>
      </c>
      <c r="J39" s="6">
        <f t="shared" si="1"/>
        <v>817</v>
      </c>
      <c r="K39" s="6">
        <v>0</v>
      </c>
      <c r="L39" s="6">
        <v>817</v>
      </c>
      <c r="M39" s="6">
        <f t="shared" si="2"/>
        <v>2.6133369514150169E-10</v>
      </c>
      <c r="N39" s="6">
        <f t="shared" ca="1" si="3"/>
        <v>0</v>
      </c>
      <c r="X39" s="6">
        <f t="shared" si="28"/>
        <v>38</v>
      </c>
      <c r="Y39" s="6" t="s">
        <v>134</v>
      </c>
      <c r="Z39" s="6">
        <f t="shared" si="29"/>
        <v>2729</v>
      </c>
      <c r="AA39" s="6">
        <v>1271</v>
      </c>
      <c r="AB39" s="6">
        <v>1458</v>
      </c>
      <c r="AC39" s="6">
        <f t="shared" si="30"/>
        <v>6.9761727875465003E-3</v>
      </c>
      <c r="AD39" s="6">
        <f t="shared" ca="1" si="31"/>
        <v>0</v>
      </c>
      <c r="AF39" s="6">
        <f t="shared" si="32"/>
        <v>38</v>
      </c>
      <c r="AG39" s="6" t="s">
        <v>177</v>
      </c>
      <c r="AH39" s="6">
        <f t="shared" si="33"/>
        <v>2356</v>
      </c>
      <c r="AI39" s="6">
        <v>1108</v>
      </c>
      <c r="AJ39" s="6">
        <v>1248</v>
      </c>
      <c r="AK39" s="6">
        <f t="shared" si="34"/>
        <v>19.939502356080098</v>
      </c>
      <c r="AL39" s="6">
        <f t="shared" ca="1" si="35"/>
        <v>3</v>
      </c>
      <c r="AN39" s="6">
        <f t="shared" si="27"/>
        <v>38</v>
      </c>
      <c r="AO39" s="6" t="s">
        <v>293</v>
      </c>
      <c r="AP39" s="6">
        <f t="shared" si="26"/>
        <v>1619</v>
      </c>
      <c r="AQ39" s="6">
        <v>885</v>
      </c>
      <c r="AR39" s="6">
        <v>734</v>
      </c>
    </row>
    <row r="40" spans="1:44" x14ac:dyDescent="0.3">
      <c r="A40" s="6">
        <f>A39+1</f>
        <v>39</v>
      </c>
      <c r="B40" s="10" t="s">
        <v>123</v>
      </c>
      <c r="C40" s="10">
        <v>3236</v>
      </c>
      <c r="D40" s="10">
        <v>1491</v>
      </c>
      <c r="E40" s="10">
        <v>1745</v>
      </c>
      <c r="X40" s="6">
        <f t="shared" si="28"/>
        <v>39</v>
      </c>
      <c r="Y40" s="6" t="s">
        <v>138</v>
      </c>
      <c r="Z40" s="6">
        <f t="shared" si="29"/>
        <v>3033</v>
      </c>
      <c r="AA40" s="6">
        <v>1319</v>
      </c>
      <c r="AB40" s="6">
        <v>1714</v>
      </c>
      <c r="AC40" s="6">
        <f t="shared" si="30"/>
        <v>0.64562520536660606</v>
      </c>
      <c r="AD40" s="6">
        <f t="shared" ca="1" si="31"/>
        <v>0</v>
      </c>
      <c r="AF40" s="6">
        <f t="shared" si="32"/>
        <v>39</v>
      </c>
      <c r="AG40" s="6" t="s">
        <v>178</v>
      </c>
      <c r="AH40" s="6">
        <f t="shared" si="33"/>
        <v>2312</v>
      </c>
      <c r="AI40" s="6">
        <v>1105</v>
      </c>
      <c r="AJ40" s="6">
        <v>1207</v>
      </c>
      <c r="AK40" s="6">
        <f t="shared" si="34"/>
        <v>17.429177937657091</v>
      </c>
      <c r="AL40" s="6">
        <f t="shared" ca="1" si="35"/>
        <v>5</v>
      </c>
      <c r="AN40" s="6">
        <f t="shared" si="27"/>
        <v>39</v>
      </c>
      <c r="AO40" s="6" t="s">
        <v>294</v>
      </c>
      <c r="AP40" s="6">
        <f t="shared" si="26"/>
        <v>1712</v>
      </c>
      <c r="AQ40" s="6">
        <v>876</v>
      </c>
      <c r="AR40" s="6">
        <v>836</v>
      </c>
    </row>
    <row r="41" spans="1:44" x14ac:dyDescent="0.3">
      <c r="A41" s="6">
        <f t="shared" ref="A41:A49" si="36">A40+1</f>
        <v>40</v>
      </c>
      <c r="B41" s="10" t="s">
        <v>121</v>
      </c>
      <c r="C41" s="10">
        <v>3217</v>
      </c>
      <c r="D41" s="10">
        <v>1473</v>
      </c>
      <c r="E41" s="10">
        <v>1744</v>
      </c>
      <c r="X41" s="6">
        <f t="shared" si="28"/>
        <v>40</v>
      </c>
      <c r="Y41" s="6" t="s">
        <v>135</v>
      </c>
      <c r="Z41" s="6">
        <f t="shared" si="29"/>
        <v>2682</v>
      </c>
      <c r="AA41" s="6">
        <v>1232</v>
      </c>
      <c r="AB41" s="6">
        <v>1450</v>
      </c>
      <c r="AC41" s="6">
        <f t="shared" si="30"/>
        <v>3.2620010503866368E-3</v>
      </c>
      <c r="AD41" s="6">
        <f t="shared" ca="1" si="31"/>
        <v>0</v>
      </c>
      <c r="AF41" s="6">
        <f t="shared" si="32"/>
        <v>40</v>
      </c>
      <c r="AG41" s="6" t="s">
        <v>193</v>
      </c>
      <c r="AH41" s="6">
        <f t="shared" si="33"/>
        <v>2330</v>
      </c>
      <c r="AI41" s="6">
        <v>1063</v>
      </c>
      <c r="AJ41" s="6">
        <v>1267</v>
      </c>
      <c r="AK41" s="6">
        <f t="shared" si="34"/>
        <v>18.421480526253227</v>
      </c>
      <c r="AL41" s="6">
        <f t="shared" ca="1" si="35"/>
        <v>6</v>
      </c>
      <c r="AN41" s="6">
        <f t="shared" si="27"/>
        <v>40</v>
      </c>
      <c r="AO41" s="6" t="s">
        <v>295</v>
      </c>
      <c r="AP41" s="6">
        <f t="shared" si="26"/>
        <v>1600</v>
      </c>
      <c r="AQ41" s="6">
        <v>874</v>
      </c>
      <c r="AR41" s="6">
        <v>726</v>
      </c>
    </row>
    <row r="42" spans="1:44" x14ac:dyDescent="0.3">
      <c r="A42" s="6">
        <f t="shared" si="36"/>
        <v>41</v>
      </c>
      <c r="B42" s="10" t="s">
        <v>114</v>
      </c>
      <c r="C42" s="10">
        <v>3216</v>
      </c>
      <c r="D42" s="10">
        <v>1506</v>
      </c>
      <c r="E42" s="10">
        <v>1710</v>
      </c>
      <c r="X42" s="6">
        <f t="shared" si="28"/>
        <v>41</v>
      </c>
      <c r="Y42" s="6" t="s">
        <v>137</v>
      </c>
      <c r="Z42" s="6">
        <f t="shared" si="29"/>
        <v>2764</v>
      </c>
      <c r="AA42" s="6">
        <v>1242</v>
      </c>
      <c r="AB42" s="6">
        <v>1522</v>
      </c>
      <c r="AC42" s="6">
        <f t="shared" si="30"/>
        <v>1.2159237614981224E-2</v>
      </c>
      <c r="AD42" s="6">
        <f t="shared" ca="1" si="31"/>
        <v>0</v>
      </c>
      <c r="AF42" s="6">
        <f t="shared" si="32"/>
        <v>41</v>
      </c>
      <c r="AG42" s="6" t="s">
        <v>186</v>
      </c>
      <c r="AH42" s="6">
        <f t="shared" si="33"/>
        <v>2316</v>
      </c>
      <c r="AI42" s="6">
        <v>1080</v>
      </c>
      <c r="AJ42" s="6">
        <v>1236</v>
      </c>
      <c r="AK42" s="6">
        <f t="shared" si="34"/>
        <v>17.645654031037051</v>
      </c>
      <c r="AL42" s="6">
        <f t="shared" ca="1" si="35"/>
        <v>17</v>
      </c>
      <c r="AN42" s="6">
        <f t="shared" si="27"/>
        <v>41</v>
      </c>
      <c r="AO42" s="6" t="s">
        <v>296</v>
      </c>
      <c r="AP42" s="6">
        <f t="shared" si="26"/>
        <v>1480</v>
      </c>
      <c r="AQ42" s="6">
        <v>857</v>
      </c>
      <c r="AR42" s="6">
        <v>623</v>
      </c>
    </row>
    <row r="43" spans="1:44" x14ac:dyDescent="0.3">
      <c r="A43" s="6">
        <f t="shared" si="36"/>
        <v>42</v>
      </c>
      <c r="B43" s="13" t="s">
        <v>94</v>
      </c>
      <c r="C43" s="13">
        <v>3202</v>
      </c>
      <c r="D43" s="13">
        <v>1469</v>
      </c>
      <c r="E43" s="13">
        <v>1733</v>
      </c>
      <c r="X43" s="6">
        <f t="shared" si="28"/>
        <v>42</v>
      </c>
      <c r="Y43" s="6" t="s">
        <v>136</v>
      </c>
      <c r="Z43" s="6">
        <f t="shared" si="29"/>
        <v>2562</v>
      </c>
      <c r="AA43" s="6">
        <v>1189</v>
      </c>
      <c r="AB43" s="6">
        <v>1373</v>
      </c>
      <c r="AC43" s="6">
        <f t="shared" si="30"/>
        <v>4.3525293330381093E-4</v>
      </c>
      <c r="AD43" s="6">
        <f t="shared" ca="1" si="31"/>
        <v>0</v>
      </c>
      <c r="AF43" s="6">
        <f t="shared" si="32"/>
        <v>42</v>
      </c>
      <c r="AG43" s="6" t="s">
        <v>190</v>
      </c>
      <c r="AH43" s="6">
        <f t="shared" si="33"/>
        <v>2363</v>
      </c>
      <c r="AI43" s="6">
        <v>1078</v>
      </c>
      <c r="AJ43" s="6">
        <v>1285</v>
      </c>
      <c r="AK43" s="6">
        <f t="shared" si="34"/>
        <v>20.365890140918932</v>
      </c>
      <c r="AL43" s="6">
        <f t="shared" ca="1" si="35"/>
        <v>7</v>
      </c>
      <c r="AN43" s="6">
        <f t="shared" si="27"/>
        <v>42</v>
      </c>
      <c r="AO43" s="6" t="s">
        <v>297</v>
      </c>
      <c r="AP43" s="6">
        <f t="shared" si="26"/>
        <v>1749</v>
      </c>
      <c r="AQ43" s="6">
        <v>840</v>
      </c>
      <c r="AR43" s="6">
        <v>909</v>
      </c>
    </row>
    <row r="44" spans="1:44" x14ac:dyDescent="0.3">
      <c r="A44" s="6">
        <f t="shared" si="36"/>
        <v>43</v>
      </c>
      <c r="B44" s="14" t="s">
        <v>254</v>
      </c>
      <c r="C44" s="14">
        <v>3199</v>
      </c>
      <c r="D44" s="14">
        <v>1495</v>
      </c>
      <c r="E44" s="14">
        <v>1704</v>
      </c>
      <c r="X44" s="6">
        <f t="shared" si="28"/>
        <v>43</v>
      </c>
      <c r="Y44" s="6" t="s">
        <v>139</v>
      </c>
      <c r="Z44" s="6">
        <f t="shared" si="29"/>
        <v>2608</v>
      </c>
      <c r="AA44" s="6">
        <v>1180</v>
      </c>
      <c r="AB44" s="6">
        <v>1428</v>
      </c>
      <c r="AC44" s="6">
        <f t="shared" si="30"/>
        <v>9.5383662437885071E-4</v>
      </c>
      <c r="AD44" s="6">
        <f t="shared" ca="1" si="31"/>
        <v>0</v>
      </c>
      <c r="AF44" s="6">
        <f t="shared" si="32"/>
        <v>43</v>
      </c>
      <c r="AG44" s="6" t="s">
        <v>191</v>
      </c>
      <c r="AH44" s="6">
        <f t="shared" si="33"/>
        <v>2384</v>
      </c>
      <c r="AI44" s="6">
        <v>1080</v>
      </c>
      <c r="AJ44" s="6">
        <v>1304</v>
      </c>
      <c r="AK44" s="6">
        <f t="shared" si="34"/>
        <v>21.691693767646782</v>
      </c>
      <c r="AL44" s="6">
        <f t="shared" ca="1" si="35"/>
        <v>5</v>
      </c>
      <c r="AN44" s="6">
        <f t="shared" si="27"/>
        <v>43</v>
      </c>
      <c r="AO44" s="6" t="s">
        <v>300</v>
      </c>
      <c r="AP44" s="6">
        <f t="shared" si="26"/>
        <v>1565</v>
      </c>
      <c r="AQ44" s="6">
        <v>831</v>
      </c>
      <c r="AR44" s="6">
        <v>734</v>
      </c>
    </row>
    <row r="45" spans="1:44" x14ac:dyDescent="0.3">
      <c r="A45" s="6">
        <f t="shared" si="36"/>
        <v>44</v>
      </c>
      <c r="B45" s="10" t="s">
        <v>112</v>
      </c>
      <c r="C45" s="10">
        <v>3198</v>
      </c>
      <c r="D45" s="10">
        <v>1516</v>
      </c>
      <c r="E45" s="10">
        <v>1682</v>
      </c>
      <c r="X45" s="6">
        <f t="shared" si="28"/>
        <v>44</v>
      </c>
      <c r="Y45" s="6" t="s">
        <v>140</v>
      </c>
      <c r="Z45" s="6">
        <f t="shared" si="29"/>
        <v>2454</v>
      </c>
      <c r="AA45" s="6">
        <v>1132</v>
      </c>
      <c r="AB45" s="6">
        <v>1322</v>
      </c>
      <c r="AC45" s="6">
        <f t="shared" si="30"/>
        <v>6.4903635029648846E-5</v>
      </c>
      <c r="AD45" s="6">
        <f t="shared" ca="1" si="31"/>
        <v>0</v>
      </c>
      <c r="AF45" s="6">
        <f t="shared" si="32"/>
        <v>44</v>
      </c>
      <c r="AG45" s="6" t="s">
        <v>192</v>
      </c>
      <c r="AH45" s="6">
        <f t="shared" si="33"/>
        <v>2364</v>
      </c>
      <c r="AI45" s="6">
        <v>1077</v>
      </c>
      <c r="AJ45" s="6">
        <v>1287</v>
      </c>
      <c r="AK45" s="6">
        <f t="shared" si="34"/>
        <v>20.427429052545335</v>
      </c>
      <c r="AL45" s="6">
        <f t="shared" ca="1" si="35"/>
        <v>10</v>
      </c>
      <c r="AN45" s="6">
        <f t="shared" si="27"/>
        <v>44</v>
      </c>
      <c r="AO45" s="6" t="s">
        <v>299</v>
      </c>
      <c r="AP45" s="6">
        <f t="shared" si="26"/>
        <v>1525</v>
      </c>
      <c r="AQ45" s="6">
        <v>819</v>
      </c>
      <c r="AR45" s="6">
        <v>706</v>
      </c>
    </row>
    <row r="46" spans="1:44" x14ac:dyDescent="0.3">
      <c r="A46" s="6">
        <f t="shared" si="36"/>
        <v>45</v>
      </c>
      <c r="B46" s="13" t="s">
        <v>96</v>
      </c>
      <c r="C46" s="13">
        <v>3175</v>
      </c>
      <c r="D46" s="13">
        <v>1458</v>
      </c>
      <c r="E46" s="13">
        <v>1717</v>
      </c>
      <c r="X46" s="6">
        <f t="shared" si="28"/>
        <v>45</v>
      </c>
      <c r="Y46" s="6" t="s">
        <v>142</v>
      </c>
      <c r="Z46" s="6">
        <f t="shared" si="29"/>
        <v>2447</v>
      </c>
      <c r="AA46" s="6">
        <v>1133</v>
      </c>
      <c r="AB46" s="6">
        <v>1314</v>
      </c>
      <c r="AC46" s="6">
        <f t="shared" si="30"/>
        <v>5.7202878080500853E-5</v>
      </c>
      <c r="AD46" s="6">
        <f t="shared" ca="1" si="31"/>
        <v>0</v>
      </c>
      <c r="AF46" s="6">
        <f t="shared" si="32"/>
        <v>45</v>
      </c>
      <c r="AG46" s="6" t="s">
        <v>194</v>
      </c>
      <c r="AH46" s="6">
        <f t="shared" si="33"/>
        <v>2262</v>
      </c>
      <c r="AI46" s="6">
        <v>1064</v>
      </c>
      <c r="AJ46" s="6">
        <v>1198</v>
      </c>
      <c r="AK46" s="6">
        <f t="shared" si="34"/>
        <v>14.908984819878619</v>
      </c>
      <c r="AL46" s="6">
        <f t="shared" ca="1" si="35"/>
        <v>12</v>
      </c>
      <c r="AN46" s="6">
        <f t="shared" si="27"/>
        <v>45</v>
      </c>
      <c r="AO46" s="6" t="s">
        <v>298</v>
      </c>
      <c r="AP46" s="6">
        <f t="shared" si="26"/>
        <v>1447</v>
      </c>
      <c r="AQ46" s="6">
        <v>858</v>
      </c>
      <c r="AR46" s="6">
        <v>589</v>
      </c>
    </row>
    <row r="47" spans="1:44" x14ac:dyDescent="0.3">
      <c r="A47" s="6">
        <f t="shared" si="36"/>
        <v>46</v>
      </c>
      <c r="B47" s="13" t="s">
        <v>95</v>
      </c>
      <c r="C47" s="13">
        <v>3156</v>
      </c>
      <c r="D47" s="13">
        <v>1457</v>
      </c>
      <c r="E47" s="13">
        <v>1699</v>
      </c>
      <c r="X47" s="6">
        <f t="shared" si="28"/>
        <v>46</v>
      </c>
      <c r="Y47" s="6" t="s">
        <v>141</v>
      </c>
      <c r="Z47" s="6">
        <f t="shared" si="29"/>
        <v>2490</v>
      </c>
      <c r="AA47" s="6">
        <v>1130</v>
      </c>
      <c r="AB47" s="6">
        <v>1360</v>
      </c>
      <c r="AC47" s="6">
        <f t="shared" si="30"/>
        <v>1.2356387287051031E-4</v>
      </c>
      <c r="AD47" s="6">
        <f t="shared" ca="1" si="31"/>
        <v>0</v>
      </c>
      <c r="AF47" s="6">
        <f t="shared" si="32"/>
        <v>46</v>
      </c>
      <c r="AG47" s="6" t="s">
        <v>195</v>
      </c>
      <c r="AH47" s="6">
        <f t="shared" si="33"/>
        <v>2127</v>
      </c>
      <c r="AI47" s="6">
        <v>979</v>
      </c>
      <c r="AJ47" s="6">
        <v>1148</v>
      </c>
      <c r="AK47" s="6">
        <f t="shared" si="34"/>
        <v>9.6096463843488955</v>
      </c>
      <c r="AL47" s="6">
        <f t="shared" ca="1" si="35"/>
        <v>5</v>
      </c>
    </row>
    <row r="48" spans="1:44" x14ac:dyDescent="0.3">
      <c r="A48" s="6">
        <f t="shared" si="36"/>
        <v>47</v>
      </c>
      <c r="B48" s="10" t="s">
        <v>119</v>
      </c>
      <c r="C48" s="10">
        <v>3147</v>
      </c>
      <c r="D48" s="10">
        <v>1467</v>
      </c>
      <c r="E48" s="10">
        <v>1680</v>
      </c>
      <c r="X48" s="6">
        <f t="shared" si="28"/>
        <v>47</v>
      </c>
      <c r="Y48" s="6" t="s">
        <v>146</v>
      </c>
      <c r="Z48" s="6">
        <f t="shared" si="29"/>
        <v>2522</v>
      </c>
      <c r="AA48" s="6">
        <v>1136</v>
      </c>
      <c r="AB48" s="6">
        <v>1386</v>
      </c>
      <c r="AC48" s="6">
        <f t="shared" si="30"/>
        <v>2.1725787858970091E-4</v>
      </c>
      <c r="AD48" s="6">
        <f t="shared" ca="1" si="31"/>
        <v>0</v>
      </c>
      <c r="AF48" s="6">
        <f t="shared" si="32"/>
        <v>47</v>
      </c>
      <c r="AG48" s="6" t="s">
        <v>196</v>
      </c>
      <c r="AH48" s="6">
        <f t="shared" si="33"/>
        <v>2079</v>
      </c>
      <c r="AI48" s="6">
        <v>970</v>
      </c>
      <c r="AJ48" s="6">
        <v>1109</v>
      </c>
      <c r="AK48" s="6">
        <f t="shared" si="34"/>
        <v>8.1695847167870994</v>
      </c>
      <c r="AL48" s="6">
        <f t="shared" ca="1" si="35"/>
        <v>6</v>
      </c>
    </row>
    <row r="49" spans="1:38" x14ac:dyDescent="0.3">
      <c r="A49" s="6">
        <f t="shared" si="36"/>
        <v>48</v>
      </c>
      <c r="B49" s="10" t="s">
        <v>117</v>
      </c>
      <c r="C49" s="10">
        <v>3140</v>
      </c>
      <c r="D49" s="10">
        <v>1473</v>
      </c>
      <c r="E49" s="10">
        <v>1667</v>
      </c>
      <c r="X49" s="6">
        <f t="shared" si="28"/>
        <v>48</v>
      </c>
      <c r="Y49" s="6" t="s">
        <v>143</v>
      </c>
      <c r="Z49" s="6">
        <f t="shared" si="29"/>
        <v>2373</v>
      </c>
      <c r="AA49" s="6">
        <v>1085</v>
      </c>
      <c r="AB49" s="6">
        <v>1288</v>
      </c>
      <c r="AC49" s="6">
        <f t="shared" si="30"/>
        <v>1.4723003216980221E-5</v>
      </c>
      <c r="AD49" s="6">
        <f t="shared" ca="1" si="31"/>
        <v>0</v>
      </c>
      <c r="AF49" s="6">
        <f t="shared" si="32"/>
        <v>48</v>
      </c>
      <c r="AG49" s="6" t="s">
        <v>197</v>
      </c>
      <c r="AH49" s="6">
        <f t="shared" si="33"/>
        <v>1969</v>
      </c>
      <c r="AI49" s="6">
        <v>896</v>
      </c>
      <c r="AJ49" s="6">
        <v>1073</v>
      </c>
      <c r="AK49" s="6">
        <f t="shared" si="34"/>
        <v>5.5624643925413269</v>
      </c>
      <c r="AL49" s="6">
        <f t="shared" ca="1" si="35"/>
        <v>5</v>
      </c>
    </row>
    <row r="50" spans="1:38" x14ac:dyDescent="0.3">
      <c r="A50" s="6">
        <f>A49+1</f>
        <v>49</v>
      </c>
      <c r="B50" s="10" t="s">
        <v>124</v>
      </c>
      <c r="C50" s="10">
        <v>3140</v>
      </c>
      <c r="D50" s="10">
        <v>1441</v>
      </c>
      <c r="E50" s="10">
        <v>1699</v>
      </c>
      <c r="X50" s="6">
        <f t="shared" si="28"/>
        <v>49</v>
      </c>
      <c r="Y50" s="6" t="s">
        <v>144</v>
      </c>
      <c r="Z50" s="6">
        <f t="shared" si="29"/>
        <v>2335</v>
      </c>
      <c r="AA50" s="6">
        <v>1056</v>
      </c>
      <c r="AB50" s="6">
        <v>1279</v>
      </c>
      <c r="AC50" s="6">
        <f t="shared" si="30"/>
        <v>7.2197752124586025E-6</v>
      </c>
      <c r="AD50" s="6">
        <f t="shared" ca="1" si="31"/>
        <v>0</v>
      </c>
      <c r="AF50" s="6">
        <f t="shared" si="32"/>
        <v>49</v>
      </c>
      <c r="AG50" s="6" t="s">
        <v>198</v>
      </c>
      <c r="AH50" s="6">
        <f t="shared" si="33"/>
        <v>1984</v>
      </c>
      <c r="AI50" s="6">
        <v>911</v>
      </c>
      <c r="AJ50" s="6">
        <v>1073</v>
      </c>
      <c r="AK50" s="6">
        <f t="shared" si="34"/>
        <v>5.8677417153325617</v>
      </c>
      <c r="AL50" s="6">
        <f t="shared" ca="1" si="35"/>
        <v>5</v>
      </c>
    </row>
    <row r="51" spans="1:38" x14ac:dyDescent="0.3">
      <c r="A51" s="6">
        <f t="shared" ref="A51:A114" si="37">A50+1</f>
        <v>50</v>
      </c>
      <c r="B51" s="23" t="s">
        <v>67</v>
      </c>
      <c r="C51" s="23">
        <v>3136</v>
      </c>
      <c r="D51" s="23">
        <v>1478</v>
      </c>
      <c r="E51" s="23">
        <v>1658</v>
      </c>
      <c r="X51" s="6">
        <f t="shared" si="28"/>
        <v>50</v>
      </c>
      <c r="Y51" s="6" t="s">
        <v>145</v>
      </c>
      <c r="Z51" s="6">
        <f t="shared" si="29"/>
        <v>2278</v>
      </c>
      <c r="AA51" s="6">
        <v>1008</v>
      </c>
      <c r="AB51" s="6">
        <v>1270</v>
      </c>
      <c r="AC51" s="6">
        <f t="shared" si="30"/>
        <v>2.4302985493365113E-6</v>
      </c>
      <c r="AD51" s="6">
        <f t="shared" ca="1" si="31"/>
        <v>0</v>
      </c>
      <c r="AF51" s="6">
        <f t="shared" si="32"/>
        <v>50</v>
      </c>
      <c r="AG51" s="6" t="s">
        <v>200</v>
      </c>
      <c r="AH51" s="6">
        <f t="shared" si="33"/>
        <v>1793</v>
      </c>
      <c r="AI51" s="6">
        <v>853</v>
      </c>
      <c r="AJ51" s="6">
        <v>940</v>
      </c>
      <c r="AK51" s="6">
        <f t="shared" si="34"/>
        <v>2.9011452384594469</v>
      </c>
      <c r="AL51" s="6">
        <f t="shared" ca="1" si="35"/>
        <v>1</v>
      </c>
    </row>
    <row r="52" spans="1:38" x14ac:dyDescent="0.3">
      <c r="A52" s="6">
        <f t="shared" si="37"/>
        <v>51</v>
      </c>
      <c r="B52" s="10" t="s">
        <v>122</v>
      </c>
      <c r="C52" s="10">
        <v>3123</v>
      </c>
      <c r="D52" s="10">
        <v>1441</v>
      </c>
      <c r="E52" s="10">
        <v>1682</v>
      </c>
      <c r="X52" s="6">
        <f t="shared" si="28"/>
        <v>51</v>
      </c>
      <c r="Y52" s="6" t="s">
        <v>147</v>
      </c>
      <c r="Z52" s="6">
        <f t="shared" si="29"/>
        <v>2247</v>
      </c>
      <c r="AA52" s="6">
        <v>992</v>
      </c>
      <c r="AB52" s="6">
        <v>1255</v>
      </c>
      <c r="AC52" s="6">
        <f t="shared" si="30"/>
        <v>1.3308378658104003E-6</v>
      </c>
      <c r="AD52" s="6">
        <f t="shared" ca="1" si="31"/>
        <v>0</v>
      </c>
      <c r="AF52" s="6">
        <f t="shared" si="32"/>
        <v>51</v>
      </c>
      <c r="AG52" s="6" t="s">
        <v>199</v>
      </c>
      <c r="AH52" s="6">
        <f t="shared" si="33"/>
        <v>1890</v>
      </c>
      <c r="AI52" s="6">
        <v>855</v>
      </c>
      <c r="AJ52" s="6">
        <v>1035</v>
      </c>
      <c r="AK52" s="6">
        <f t="shared" si="34"/>
        <v>4.1759812773646274</v>
      </c>
      <c r="AL52" s="6">
        <f t="shared" ca="1" si="35"/>
        <v>3</v>
      </c>
    </row>
    <row r="53" spans="1:38" x14ac:dyDescent="0.3">
      <c r="A53" s="6">
        <f t="shared" si="37"/>
        <v>52</v>
      </c>
      <c r="B53" s="14" t="s">
        <v>158</v>
      </c>
      <c r="C53" s="14">
        <v>3095</v>
      </c>
      <c r="D53" s="14">
        <v>1481</v>
      </c>
      <c r="E53" s="14">
        <v>1614</v>
      </c>
      <c r="X53" s="6">
        <f t="shared" si="28"/>
        <v>52</v>
      </c>
      <c r="Y53" s="6" t="s">
        <v>253</v>
      </c>
      <c r="Z53" s="6">
        <f t="shared" si="29"/>
        <v>2026</v>
      </c>
      <c r="AA53" s="6">
        <v>946</v>
      </c>
      <c r="AB53" s="6">
        <v>1080</v>
      </c>
      <c r="AC53" s="6">
        <f t="shared" si="30"/>
        <v>1.4806537490048066E-8</v>
      </c>
      <c r="AD53" s="6">
        <f t="shared" ca="1" si="31"/>
        <v>0</v>
      </c>
      <c r="AF53" s="6">
        <f t="shared" si="32"/>
        <v>52</v>
      </c>
      <c r="AG53" s="6" t="s">
        <v>202</v>
      </c>
      <c r="AH53" s="6">
        <f t="shared" si="33"/>
        <v>1818</v>
      </c>
      <c r="AI53" s="6">
        <v>839</v>
      </c>
      <c r="AJ53" s="6">
        <v>979</v>
      </c>
      <c r="AK53" s="6">
        <f t="shared" si="34"/>
        <v>3.1908128803303577</v>
      </c>
      <c r="AL53" s="6">
        <f t="shared" ca="1" si="35"/>
        <v>2</v>
      </c>
    </row>
    <row r="54" spans="1:38" x14ac:dyDescent="0.3">
      <c r="A54" s="6">
        <f t="shared" si="37"/>
        <v>53</v>
      </c>
      <c r="B54" s="10" t="s">
        <v>118</v>
      </c>
      <c r="C54" s="10">
        <v>3094</v>
      </c>
      <c r="D54" s="10">
        <v>1455</v>
      </c>
      <c r="E54" s="10">
        <v>1639</v>
      </c>
      <c r="X54" s="6">
        <f t="shared" si="28"/>
        <v>53</v>
      </c>
      <c r="Y54" s="6" t="s">
        <v>148</v>
      </c>
      <c r="Z54" s="6">
        <f t="shared" si="29"/>
        <v>1831</v>
      </c>
      <c r="AA54" s="6">
        <v>820</v>
      </c>
      <c r="AB54" s="6">
        <v>1011</v>
      </c>
      <c r="AC54" s="6">
        <f t="shared" si="30"/>
        <v>2.0725405431340442E-10</v>
      </c>
      <c r="AD54" s="6">
        <f t="shared" ca="1" si="31"/>
        <v>0</v>
      </c>
      <c r="AF54" s="6">
        <f t="shared" si="32"/>
        <v>53</v>
      </c>
      <c r="AG54" s="6" t="s">
        <v>201</v>
      </c>
      <c r="AH54" s="6">
        <f t="shared" si="33"/>
        <v>1657</v>
      </c>
      <c r="AI54" s="6">
        <v>804</v>
      </c>
      <c r="AJ54" s="6">
        <v>853</v>
      </c>
      <c r="AK54" s="6">
        <f t="shared" si="34"/>
        <v>1.7016401365614358</v>
      </c>
      <c r="AL54" s="6">
        <f t="shared" ca="1" si="35"/>
        <v>1</v>
      </c>
    </row>
    <row r="55" spans="1:38" x14ac:dyDescent="0.3">
      <c r="A55" s="6">
        <f t="shared" si="37"/>
        <v>54</v>
      </c>
      <c r="B55" s="23" t="s">
        <v>63</v>
      </c>
      <c r="C55" s="23">
        <v>3064</v>
      </c>
      <c r="D55" s="23">
        <v>1456</v>
      </c>
      <c r="E55" s="23">
        <v>1608</v>
      </c>
      <c r="X55" s="6">
        <f t="shared" si="28"/>
        <v>54</v>
      </c>
      <c r="Y55" s="6" t="s">
        <v>150</v>
      </c>
      <c r="Z55" s="6">
        <f t="shared" si="29"/>
        <v>1692</v>
      </c>
      <c r="AA55" s="6">
        <v>797</v>
      </c>
      <c r="AB55" s="6">
        <v>895</v>
      </c>
      <c r="AC55" s="6">
        <f t="shared" si="30"/>
        <v>8.3245934331629718E-12</v>
      </c>
      <c r="AD55" s="6">
        <f t="shared" ca="1" si="31"/>
        <v>0</v>
      </c>
      <c r="AF55" s="6">
        <f t="shared" ref="AF55:AF56" si="38">AF54+1</f>
        <v>54</v>
      </c>
      <c r="AG55" s="6" t="s">
        <v>267</v>
      </c>
      <c r="AH55" s="6">
        <f>AI55+AJ55</f>
        <v>1320</v>
      </c>
      <c r="AI55" s="6">
        <v>0</v>
      </c>
      <c r="AJ55" s="6">
        <v>1320</v>
      </c>
      <c r="AK55" s="6">
        <f t="shared" si="34"/>
        <v>0.40405780186402074</v>
      </c>
      <c r="AL55" s="6">
        <f t="shared" ca="1" si="35"/>
        <v>0</v>
      </c>
    </row>
    <row r="56" spans="1:38" x14ac:dyDescent="0.3">
      <c r="A56" s="6">
        <f t="shared" si="37"/>
        <v>55</v>
      </c>
      <c r="B56" s="14" t="s">
        <v>159</v>
      </c>
      <c r="C56" s="14">
        <v>3043</v>
      </c>
      <c r="D56" s="14">
        <v>1455</v>
      </c>
      <c r="E56" s="14">
        <v>1588</v>
      </c>
      <c r="X56" s="6">
        <f t="shared" si="28"/>
        <v>55</v>
      </c>
      <c r="Y56" s="6" t="s">
        <v>149</v>
      </c>
      <c r="Z56" s="6">
        <f t="shared" si="29"/>
        <v>1546</v>
      </c>
      <c r="AA56" s="6">
        <v>721</v>
      </c>
      <c r="AB56" s="6">
        <v>825</v>
      </c>
      <c r="AC56" s="6">
        <f t="shared" si="30"/>
        <v>2.4375741440019238E-13</v>
      </c>
      <c r="AD56" s="6">
        <f t="shared" ca="1" si="31"/>
        <v>0</v>
      </c>
      <c r="AF56" s="6">
        <f t="shared" si="38"/>
        <v>55</v>
      </c>
      <c r="AG56" s="6" t="s">
        <v>268</v>
      </c>
      <c r="AH56" s="6">
        <f>AI56+AJ56</f>
        <v>2088</v>
      </c>
      <c r="AI56" s="6">
        <v>887</v>
      </c>
      <c r="AJ56" s="6">
        <v>1201</v>
      </c>
      <c r="AK56" s="6">
        <f t="shared" si="34"/>
        <v>8.424186399345686</v>
      </c>
      <c r="AL56" s="6">
        <f t="shared" ca="1" si="35"/>
        <v>0</v>
      </c>
    </row>
    <row r="57" spans="1:38" x14ac:dyDescent="0.3">
      <c r="A57" s="6">
        <f t="shared" si="37"/>
        <v>56</v>
      </c>
      <c r="B57" s="14" t="s">
        <v>162</v>
      </c>
      <c r="C57" s="14">
        <v>3043</v>
      </c>
      <c r="D57" s="14">
        <v>1421</v>
      </c>
      <c r="E57" s="14">
        <v>1622</v>
      </c>
    </row>
    <row r="58" spans="1:38" x14ac:dyDescent="0.3">
      <c r="A58" s="6">
        <f t="shared" si="37"/>
        <v>57</v>
      </c>
      <c r="B58" s="6" t="s">
        <v>204</v>
      </c>
      <c r="C58" s="6">
        <v>3040</v>
      </c>
      <c r="D58" s="6">
        <v>1409</v>
      </c>
      <c r="E58" s="6">
        <v>1631</v>
      </c>
    </row>
    <row r="59" spans="1:38" x14ac:dyDescent="0.3">
      <c r="A59" s="6">
        <f t="shared" si="37"/>
        <v>58</v>
      </c>
      <c r="B59" s="10" t="s">
        <v>138</v>
      </c>
      <c r="C59" s="10">
        <v>3033</v>
      </c>
      <c r="D59" s="10">
        <v>1319</v>
      </c>
      <c r="E59" s="10">
        <v>1714</v>
      </c>
    </row>
    <row r="60" spans="1:38" x14ac:dyDescent="0.3">
      <c r="A60" s="6">
        <f t="shared" si="37"/>
        <v>59</v>
      </c>
      <c r="B60" s="6" t="s">
        <v>217</v>
      </c>
      <c r="C60" s="6">
        <v>3021</v>
      </c>
      <c r="D60" s="6">
        <v>1425</v>
      </c>
      <c r="E60" s="6">
        <v>1596</v>
      </c>
    </row>
    <row r="61" spans="1:38" x14ac:dyDescent="0.3">
      <c r="A61" s="6">
        <f t="shared" si="37"/>
        <v>60</v>
      </c>
      <c r="B61" s="10" t="s">
        <v>132</v>
      </c>
      <c r="C61" s="10">
        <v>3013</v>
      </c>
      <c r="D61" s="10">
        <v>1408</v>
      </c>
      <c r="E61" s="10">
        <v>1605</v>
      </c>
    </row>
    <row r="62" spans="1:38" x14ac:dyDescent="0.3">
      <c r="A62" s="6">
        <f t="shared" si="37"/>
        <v>61</v>
      </c>
      <c r="B62" s="14" t="s">
        <v>160</v>
      </c>
      <c r="C62" s="14">
        <v>3010</v>
      </c>
      <c r="D62" s="14">
        <v>1451</v>
      </c>
      <c r="E62" s="14">
        <v>1559</v>
      </c>
    </row>
    <row r="63" spans="1:38" x14ac:dyDescent="0.3">
      <c r="A63" s="6">
        <f t="shared" si="37"/>
        <v>62</v>
      </c>
      <c r="B63" s="10" t="s">
        <v>126</v>
      </c>
      <c r="C63" s="10">
        <v>3009</v>
      </c>
      <c r="D63" s="10">
        <v>1355</v>
      </c>
      <c r="E63" s="10">
        <v>1654</v>
      </c>
    </row>
    <row r="64" spans="1:38" x14ac:dyDescent="0.3">
      <c r="A64" s="6">
        <f t="shared" si="37"/>
        <v>63</v>
      </c>
      <c r="B64" s="10" t="s">
        <v>127</v>
      </c>
      <c r="C64" s="10">
        <v>2992</v>
      </c>
      <c r="D64" s="10">
        <v>1376</v>
      </c>
      <c r="E64" s="10">
        <v>1616</v>
      </c>
    </row>
    <row r="65" spans="1:5" x14ac:dyDescent="0.3">
      <c r="A65" s="6">
        <f t="shared" si="37"/>
        <v>64</v>
      </c>
      <c r="B65" s="14" t="s">
        <v>155</v>
      </c>
      <c r="C65" s="14">
        <v>2988</v>
      </c>
      <c r="D65" s="14">
        <v>1426</v>
      </c>
      <c r="E65" s="14">
        <v>1562</v>
      </c>
    </row>
    <row r="66" spans="1:5" x14ac:dyDescent="0.3">
      <c r="A66" s="6">
        <f t="shared" si="37"/>
        <v>65</v>
      </c>
      <c r="B66" s="10" t="s">
        <v>133</v>
      </c>
      <c r="C66" s="10">
        <v>2980</v>
      </c>
      <c r="D66" s="10">
        <v>1333</v>
      </c>
      <c r="E66" s="10">
        <v>1647</v>
      </c>
    </row>
    <row r="67" spans="1:5" x14ac:dyDescent="0.3">
      <c r="A67" s="6">
        <f t="shared" si="37"/>
        <v>66</v>
      </c>
      <c r="B67" s="6" t="s">
        <v>210</v>
      </c>
      <c r="C67" s="6">
        <v>2978</v>
      </c>
      <c r="D67" s="6">
        <v>1350</v>
      </c>
      <c r="E67" s="6">
        <v>1628</v>
      </c>
    </row>
    <row r="68" spans="1:5" x14ac:dyDescent="0.3">
      <c r="A68" s="6">
        <f t="shared" si="37"/>
        <v>67</v>
      </c>
      <c r="B68" s="10" t="s">
        <v>130</v>
      </c>
      <c r="C68" s="10">
        <v>2970</v>
      </c>
      <c r="D68" s="10">
        <v>1365</v>
      </c>
      <c r="E68" s="10">
        <v>1605</v>
      </c>
    </row>
    <row r="69" spans="1:5" x14ac:dyDescent="0.3">
      <c r="A69" s="6">
        <f t="shared" si="37"/>
        <v>68</v>
      </c>
      <c r="B69" s="6" t="s">
        <v>211</v>
      </c>
      <c r="C69" s="6">
        <v>2965</v>
      </c>
      <c r="D69" s="6">
        <v>1404</v>
      </c>
      <c r="E69" s="6">
        <v>1561</v>
      </c>
    </row>
    <row r="70" spans="1:5" x14ac:dyDescent="0.3">
      <c r="A70" s="6">
        <f t="shared" si="37"/>
        <v>69</v>
      </c>
      <c r="B70" s="10" t="s">
        <v>129</v>
      </c>
      <c r="C70" s="10">
        <v>2963</v>
      </c>
      <c r="D70" s="10">
        <v>1365</v>
      </c>
      <c r="E70" s="10">
        <v>1598</v>
      </c>
    </row>
    <row r="71" spans="1:5" x14ac:dyDescent="0.3">
      <c r="A71" s="6">
        <f t="shared" si="37"/>
        <v>70</v>
      </c>
      <c r="B71" s="14" t="s">
        <v>163</v>
      </c>
      <c r="C71" s="14">
        <v>2962</v>
      </c>
      <c r="D71" s="14">
        <v>1387</v>
      </c>
      <c r="E71" s="14">
        <v>1575</v>
      </c>
    </row>
    <row r="72" spans="1:5" x14ac:dyDescent="0.3">
      <c r="A72" s="6">
        <f t="shared" si="37"/>
        <v>71</v>
      </c>
      <c r="B72" s="23" t="s">
        <v>58</v>
      </c>
      <c r="C72" s="23">
        <v>2948</v>
      </c>
      <c r="D72" s="23">
        <v>1378</v>
      </c>
      <c r="E72" s="23">
        <v>1570</v>
      </c>
    </row>
    <row r="73" spans="1:5" x14ac:dyDescent="0.3">
      <c r="A73" s="6">
        <f t="shared" si="37"/>
        <v>72</v>
      </c>
      <c r="B73" s="13" t="s">
        <v>93</v>
      </c>
      <c r="C73" s="13">
        <v>2947</v>
      </c>
      <c r="D73" s="13">
        <v>1326</v>
      </c>
      <c r="E73" s="13">
        <v>1621</v>
      </c>
    </row>
    <row r="74" spans="1:5" x14ac:dyDescent="0.3">
      <c r="A74" s="6">
        <f t="shared" si="37"/>
        <v>73</v>
      </c>
      <c r="B74" s="14" t="s">
        <v>161</v>
      </c>
      <c r="C74" s="14">
        <v>2935</v>
      </c>
      <c r="D74" s="14">
        <v>1406</v>
      </c>
      <c r="E74" s="14">
        <v>1529</v>
      </c>
    </row>
    <row r="75" spans="1:5" x14ac:dyDescent="0.3">
      <c r="A75" s="6">
        <f t="shared" si="37"/>
        <v>74</v>
      </c>
      <c r="B75" s="10" t="s">
        <v>128</v>
      </c>
      <c r="C75" s="10">
        <v>2910</v>
      </c>
      <c r="D75" s="10">
        <v>1342</v>
      </c>
      <c r="E75" s="10">
        <v>1568</v>
      </c>
    </row>
    <row r="76" spans="1:5" x14ac:dyDescent="0.3">
      <c r="A76" s="6">
        <f t="shared" si="37"/>
        <v>75</v>
      </c>
      <c r="B76" s="6" t="s">
        <v>205</v>
      </c>
      <c r="C76" s="6">
        <v>2910</v>
      </c>
      <c r="D76" s="6">
        <v>1370</v>
      </c>
      <c r="E76" s="6">
        <v>1540</v>
      </c>
    </row>
    <row r="77" spans="1:5" x14ac:dyDescent="0.3">
      <c r="A77" s="6">
        <f t="shared" si="37"/>
        <v>76</v>
      </c>
      <c r="B77" s="23" t="s">
        <v>72</v>
      </c>
      <c r="C77" s="23">
        <v>2884</v>
      </c>
      <c r="D77" s="23">
        <v>1357</v>
      </c>
      <c r="E77" s="23">
        <v>1527</v>
      </c>
    </row>
    <row r="78" spans="1:5" x14ac:dyDescent="0.3">
      <c r="A78" s="6">
        <f t="shared" si="37"/>
        <v>77</v>
      </c>
      <c r="B78" s="10" t="s">
        <v>125</v>
      </c>
      <c r="C78" s="10">
        <v>2877</v>
      </c>
      <c r="D78" s="10">
        <v>1341</v>
      </c>
      <c r="E78" s="10">
        <v>1536</v>
      </c>
    </row>
    <row r="79" spans="1:5" x14ac:dyDescent="0.3">
      <c r="A79" s="6">
        <f t="shared" si="37"/>
        <v>78</v>
      </c>
      <c r="B79" s="6" t="s">
        <v>206</v>
      </c>
      <c r="C79" s="6">
        <v>2822</v>
      </c>
      <c r="D79" s="6">
        <v>1411</v>
      </c>
      <c r="E79" s="6">
        <v>1411</v>
      </c>
    </row>
    <row r="80" spans="1:5" x14ac:dyDescent="0.3">
      <c r="A80" s="6">
        <f t="shared" si="37"/>
        <v>79</v>
      </c>
      <c r="B80" s="14" t="s">
        <v>166</v>
      </c>
      <c r="C80" s="14">
        <v>2807</v>
      </c>
      <c r="D80" s="14">
        <v>1265</v>
      </c>
      <c r="E80" s="14">
        <v>1542</v>
      </c>
    </row>
    <row r="81" spans="1:5" x14ac:dyDescent="0.3">
      <c r="A81" s="6">
        <f t="shared" si="37"/>
        <v>80</v>
      </c>
      <c r="B81" s="16" t="s">
        <v>224</v>
      </c>
      <c r="C81" s="16">
        <v>2803</v>
      </c>
      <c r="D81" s="16">
        <v>1269</v>
      </c>
      <c r="E81" s="16">
        <v>1534</v>
      </c>
    </row>
    <row r="82" spans="1:5" x14ac:dyDescent="0.3">
      <c r="A82" s="6">
        <f t="shared" si="37"/>
        <v>81</v>
      </c>
      <c r="B82" s="6" t="s">
        <v>212</v>
      </c>
      <c r="C82" s="6">
        <v>2788</v>
      </c>
      <c r="D82" s="6">
        <v>1309</v>
      </c>
      <c r="E82" s="6">
        <v>1479</v>
      </c>
    </row>
    <row r="83" spans="1:5" x14ac:dyDescent="0.3">
      <c r="A83" s="6">
        <f t="shared" si="37"/>
        <v>82</v>
      </c>
      <c r="B83" s="23" t="s">
        <v>76</v>
      </c>
      <c r="C83" s="23">
        <v>2781</v>
      </c>
      <c r="D83" s="23">
        <v>1264</v>
      </c>
      <c r="E83" s="23">
        <v>1517</v>
      </c>
    </row>
    <row r="84" spans="1:5" x14ac:dyDescent="0.3">
      <c r="A84" s="6">
        <f t="shared" si="37"/>
        <v>83</v>
      </c>
      <c r="B84" s="10" t="s">
        <v>137</v>
      </c>
      <c r="C84" s="10">
        <v>2764</v>
      </c>
      <c r="D84" s="10">
        <v>1242</v>
      </c>
      <c r="E84" s="10">
        <v>1522</v>
      </c>
    </row>
    <row r="85" spans="1:5" x14ac:dyDescent="0.3">
      <c r="A85" s="6">
        <f t="shared" si="37"/>
        <v>84</v>
      </c>
      <c r="B85" s="10" t="s">
        <v>131</v>
      </c>
      <c r="C85" s="10">
        <v>2762</v>
      </c>
      <c r="D85" s="10">
        <v>1301</v>
      </c>
      <c r="E85" s="10">
        <v>1461</v>
      </c>
    </row>
    <row r="86" spans="1:5" x14ac:dyDescent="0.3">
      <c r="A86" s="6">
        <f t="shared" si="37"/>
        <v>85</v>
      </c>
      <c r="B86" s="6" t="s">
        <v>275</v>
      </c>
      <c r="C86" s="6">
        <v>2762</v>
      </c>
      <c r="D86" s="6">
        <v>1283</v>
      </c>
      <c r="E86" s="6">
        <v>1479</v>
      </c>
    </row>
    <row r="87" spans="1:5" x14ac:dyDescent="0.3">
      <c r="A87" s="6">
        <f t="shared" si="37"/>
        <v>86</v>
      </c>
      <c r="B87" s="14" t="s">
        <v>164</v>
      </c>
      <c r="C87" s="14">
        <v>2758</v>
      </c>
      <c r="D87" s="14">
        <v>1295</v>
      </c>
      <c r="E87" s="14">
        <v>1463</v>
      </c>
    </row>
    <row r="88" spans="1:5" x14ac:dyDescent="0.3">
      <c r="A88" s="6">
        <f t="shared" si="37"/>
        <v>87</v>
      </c>
      <c r="B88" s="23" t="s">
        <v>71</v>
      </c>
      <c r="C88" s="23">
        <v>2743</v>
      </c>
      <c r="D88" s="23">
        <v>1238</v>
      </c>
      <c r="E88" s="23">
        <v>1505</v>
      </c>
    </row>
    <row r="89" spans="1:5" x14ac:dyDescent="0.3">
      <c r="A89" s="6">
        <f t="shared" si="37"/>
        <v>88</v>
      </c>
      <c r="B89" s="10" t="s">
        <v>134</v>
      </c>
      <c r="C89" s="10">
        <v>2729</v>
      </c>
      <c r="D89" s="10">
        <v>1271</v>
      </c>
      <c r="E89" s="10">
        <v>1458</v>
      </c>
    </row>
    <row r="90" spans="1:5" x14ac:dyDescent="0.3">
      <c r="A90" s="6">
        <f t="shared" si="37"/>
        <v>89</v>
      </c>
      <c r="B90" s="23" t="s">
        <v>86</v>
      </c>
      <c r="C90" s="23">
        <v>2723</v>
      </c>
      <c r="D90" s="23">
        <v>1285</v>
      </c>
      <c r="E90" s="23">
        <v>1438</v>
      </c>
    </row>
    <row r="91" spans="1:5" x14ac:dyDescent="0.3">
      <c r="A91" s="6">
        <f t="shared" si="37"/>
        <v>90</v>
      </c>
      <c r="B91" s="6" t="s">
        <v>214</v>
      </c>
      <c r="C91" s="6">
        <v>2708</v>
      </c>
      <c r="D91" s="6">
        <v>1243</v>
      </c>
      <c r="E91" s="6">
        <v>1465</v>
      </c>
    </row>
    <row r="92" spans="1:5" x14ac:dyDescent="0.3">
      <c r="A92" s="6">
        <f t="shared" si="37"/>
        <v>91</v>
      </c>
      <c r="B92" s="10" t="s">
        <v>135</v>
      </c>
      <c r="C92" s="10">
        <v>2682</v>
      </c>
      <c r="D92" s="10">
        <v>1232</v>
      </c>
      <c r="E92" s="10">
        <v>1450</v>
      </c>
    </row>
    <row r="93" spans="1:5" x14ac:dyDescent="0.3">
      <c r="A93" s="6">
        <f t="shared" si="37"/>
        <v>92</v>
      </c>
      <c r="B93" s="6" t="s">
        <v>220</v>
      </c>
      <c r="C93" s="6">
        <v>2678</v>
      </c>
      <c r="D93" s="6">
        <v>1254</v>
      </c>
      <c r="E93" s="6">
        <v>1424</v>
      </c>
    </row>
    <row r="94" spans="1:5" x14ac:dyDescent="0.3">
      <c r="A94" s="6">
        <f t="shared" si="37"/>
        <v>93</v>
      </c>
      <c r="B94" s="14" t="s">
        <v>165</v>
      </c>
      <c r="C94" s="14">
        <v>2673</v>
      </c>
      <c r="D94" s="14">
        <v>1272</v>
      </c>
      <c r="E94" s="14">
        <v>1401</v>
      </c>
    </row>
    <row r="95" spans="1:5" x14ac:dyDescent="0.3">
      <c r="A95" s="6">
        <f t="shared" si="37"/>
        <v>94</v>
      </c>
      <c r="B95" s="6" t="s">
        <v>218</v>
      </c>
      <c r="C95" s="6">
        <v>2668</v>
      </c>
      <c r="D95" s="6">
        <v>1254</v>
      </c>
      <c r="E95" s="6">
        <v>1414</v>
      </c>
    </row>
    <row r="96" spans="1:5" x14ac:dyDescent="0.3">
      <c r="A96" s="6">
        <f t="shared" si="37"/>
        <v>95</v>
      </c>
      <c r="B96" s="14" t="s">
        <v>168</v>
      </c>
      <c r="C96" s="14">
        <v>2658</v>
      </c>
      <c r="D96" s="14">
        <v>1264</v>
      </c>
      <c r="E96" s="14">
        <v>1394</v>
      </c>
    </row>
    <row r="97" spans="1:5" x14ac:dyDescent="0.3">
      <c r="A97" s="6">
        <f t="shared" si="37"/>
        <v>96</v>
      </c>
      <c r="B97" s="23" t="s">
        <v>84</v>
      </c>
      <c r="C97" s="23">
        <v>2657</v>
      </c>
      <c r="D97" s="23">
        <v>1225</v>
      </c>
      <c r="E97" s="23">
        <v>1432</v>
      </c>
    </row>
    <row r="98" spans="1:5" x14ac:dyDescent="0.3">
      <c r="A98" s="6">
        <f t="shared" si="37"/>
        <v>97</v>
      </c>
      <c r="B98" s="14" t="s">
        <v>167</v>
      </c>
      <c r="C98" s="14">
        <v>2657</v>
      </c>
      <c r="D98" s="14">
        <v>1252</v>
      </c>
      <c r="E98" s="14">
        <v>1405</v>
      </c>
    </row>
    <row r="99" spans="1:5" x14ac:dyDescent="0.3">
      <c r="A99" s="6">
        <f t="shared" si="37"/>
        <v>98</v>
      </c>
      <c r="B99" s="14" t="s">
        <v>169</v>
      </c>
      <c r="C99" s="14">
        <v>2626</v>
      </c>
      <c r="D99" s="14">
        <v>1255</v>
      </c>
      <c r="E99" s="14">
        <v>1371</v>
      </c>
    </row>
    <row r="100" spans="1:5" x14ac:dyDescent="0.3">
      <c r="A100" s="6">
        <f t="shared" si="37"/>
        <v>99</v>
      </c>
      <c r="B100" s="6" t="s">
        <v>276</v>
      </c>
      <c r="C100" s="6">
        <v>2626</v>
      </c>
      <c r="D100" s="6">
        <v>1250</v>
      </c>
      <c r="E100" s="6">
        <v>1376</v>
      </c>
    </row>
    <row r="101" spans="1:5" x14ac:dyDescent="0.3">
      <c r="A101" s="6">
        <f t="shared" si="37"/>
        <v>100</v>
      </c>
      <c r="B101" s="10" t="s">
        <v>139</v>
      </c>
      <c r="C101" s="10">
        <v>2608</v>
      </c>
      <c r="D101" s="10">
        <v>1180</v>
      </c>
      <c r="E101" s="10">
        <v>1428</v>
      </c>
    </row>
    <row r="102" spans="1:5" x14ac:dyDescent="0.3">
      <c r="A102" s="6">
        <f t="shared" si="37"/>
        <v>101</v>
      </c>
      <c r="B102" s="23" t="s">
        <v>81</v>
      </c>
      <c r="C102" s="23">
        <v>2605</v>
      </c>
      <c r="D102" s="23">
        <v>1219</v>
      </c>
      <c r="E102" s="23">
        <v>1386</v>
      </c>
    </row>
    <row r="103" spans="1:5" x14ac:dyDescent="0.3">
      <c r="A103" s="6">
        <f t="shared" si="37"/>
        <v>102</v>
      </c>
      <c r="B103" s="14" t="s">
        <v>182</v>
      </c>
      <c r="C103" s="14">
        <v>2602</v>
      </c>
      <c r="D103" s="14">
        <v>1182</v>
      </c>
      <c r="E103" s="14">
        <v>1420</v>
      </c>
    </row>
    <row r="104" spans="1:5" x14ac:dyDescent="0.3">
      <c r="A104" s="6">
        <f t="shared" si="37"/>
        <v>103</v>
      </c>
      <c r="B104" s="14" t="s">
        <v>174</v>
      </c>
      <c r="C104" s="14">
        <v>2582</v>
      </c>
      <c r="D104" s="14">
        <v>1202</v>
      </c>
      <c r="E104" s="14">
        <v>1380</v>
      </c>
    </row>
    <row r="105" spans="1:5" x14ac:dyDescent="0.3">
      <c r="A105" s="6">
        <f t="shared" si="37"/>
        <v>104</v>
      </c>
      <c r="B105" s="14" t="s">
        <v>189</v>
      </c>
      <c r="C105" s="14">
        <v>2578</v>
      </c>
      <c r="D105" s="14">
        <v>1159</v>
      </c>
      <c r="E105" s="14">
        <v>1419</v>
      </c>
    </row>
    <row r="106" spans="1:5" x14ac:dyDescent="0.3">
      <c r="A106" s="6">
        <f t="shared" si="37"/>
        <v>105</v>
      </c>
      <c r="B106" s="6" t="s">
        <v>277</v>
      </c>
      <c r="C106" s="6">
        <v>2576</v>
      </c>
      <c r="D106" s="6">
        <v>1225</v>
      </c>
      <c r="E106" s="6">
        <v>1351</v>
      </c>
    </row>
    <row r="107" spans="1:5" x14ac:dyDescent="0.3">
      <c r="A107" s="6">
        <f t="shared" si="37"/>
        <v>106</v>
      </c>
      <c r="B107" s="14" t="s">
        <v>170</v>
      </c>
      <c r="C107" s="14">
        <v>2575</v>
      </c>
      <c r="D107" s="14">
        <v>1195</v>
      </c>
      <c r="E107" s="14">
        <v>1380</v>
      </c>
    </row>
    <row r="108" spans="1:5" x14ac:dyDescent="0.3">
      <c r="A108" s="6">
        <f t="shared" si="37"/>
        <v>107</v>
      </c>
      <c r="B108" s="23" t="s">
        <v>82</v>
      </c>
      <c r="C108" s="23">
        <v>2563</v>
      </c>
      <c r="D108" s="23">
        <v>1132</v>
      </c>
      <c r="E108" s="23">
        <v>1431</v>
      </c>
    </row>
    <row r="109" spans="1:5" x14ac:dyDescent="0.3">
      <c r="A109" s="6">
        <f t="shared" si="37"/>
        <v>108</v>
      </c>
      <c r="B109" s="10" t="s">
        <v>136</v>
      </c>
      <c r="C109" s="10">
        <v>2562</v>
      </c>
      <c r="D109" s="10">
        <v>1189</v>
      </c>
      <c r="E109" s="10">
        <v>1373</v>
      </c>
    </row>
    <row r="110" spans="1:5" x14ac:dyDescent="0.3">
      <c r="A110" s="6">
        <f t="shared" si="37"/>
        <v>109</v>
      </c>
      <c r="B110" s="14" t="s">
        <v>179</v>
      </c>
      <c r="C110" s="14">
        <v>2561</v>
      </c>
      <c r="D110" s="14">
        <v>1187</v>
      </c>
      <c r="E110" s="14">
        <v>1374</v>
      </c>
    </row>
    <row r="111" spans="1:5" x14ac:dyDescent="0.3">
      <c r="A111" s="6">
        <f t="shared" si="37"/>
        <v>110</v>
      </c>
      <c r="B111" s="14" t="s">
        <v>171</v>
      </c>
      <c r="C111" s="14">
        <v>2560</v>
      </c>
      <c r="D111" s="14">
        <v>1218</v>
      </c>
      <c r="E111" s="14">
        <v>1342</v>
      </c>
    </row>
    <row r="112" spans="1:5" x14ac:dyDescent="0.3">
      <c r="A112" s="6">
        <f t="shared" si="37"/>
        <v>111</v>
      </c>
      <c r="B112" s="14" t="s">
        <v>185</v>
      </c>
      <c r="C112" s="14">
        <v>2557</v>
      </c>
      <c r="D112" s="14">
        <v>1175</v>
      </c>
      <c r="E112" s="14">
        <v>1382</v>
      </c>
    </row>
    <row r="113" spans="1:5" x14ac:dyDescent="0.3">
      <c r="A113" s="6">
        <f t="shared" si="37"/>
        <v>112</v>
      </c>
      <c r="B113" s="14" t="s">
        <v>172</v>
      </c>
      <c r="C113" s="14">
        <v>2548</v>
      </c>
      <c r="D113" s="14">
        <v>1185</v>
      </c>
      <c r="E113" s="14">
        <v>1363</v>
      </c>
    </row>
    <row r="114" spans="1:5" x14ac:dyDescent="0.3">
      <c r="A114" s="6">
        <f t="shared" si="37"/>
        <v>113</v>
      </c>
      <c r="B114" s="14" t="s">
        <v>180</v>
      </c>
      <c r="C114" s="14">
        <v>2531</v>
      </c>
      <c r="D114" s="14">
        <v>1152</v>
      </c>
      <c r="E114" s="14">
        <v>1379</v>
      </c>
    </row>
    <row r="115" spans="1:5" x14ac:dyDescent="0.3">
      <c r="A115" s="6">
        <f t="shared" ref="A115:A178" si="39">A114+1</f>
        <v>114</v>
      </c>
      <c r="B115" s="6" t="s">
        <v>219</v>
      </c>
      <c r="C115" s="6">
        <v>2529</v>
      </c>
      <c r="D115" s="6">
        <v>1157</v>
      </c>
      <c r="E115" s="6">
        <v>1372</v>
      </c>
    </row>
    <row r="116" spans="1:5" x14ac:dyDescent="0.3">
      <c r="A116" s="6">
        <f t="shared" si="39"/>
        <v>115</v>
      </c>
      <c r="B116" s="6" t="s">
        <v>208</v>
      </c>
      <c r="C116" s="6">
        <v>2526</v>
      </c>
      <c r="D116" s="6">
        <v>1151</v>
      </c>
      <c r="E116" s="6">
        <v>1375</v>
      </c>
    </row>
    <row r="117" spans="1:5" x14ac:dyDescent="0.3">
      <c r="A117" s="6">
        <f t="shared" si="39"/>
        <v>116</v>
      </c>
      <c r="B117" s="10" t="s">
        <v>146</v>
      </c>
      <c r="C117" s="10">
        <v>2522</v>
      </c>
      <c r="D117" s="10">
        <v>1136</v>
      </c>
      <c r="E117" s="10">
        <v>1386</v>
      </c>
    </row>
    <row r="118" spans="1:5" x14ac:dyDescent="0.3">
      <c r="A118" s="6">
        <f t="shared" si="39"/>
        <v>117</v>
      </c>
      <c r="B118" s="6" t="s">
        <v>278</v>
      </c>
      <c r="C118" s="6">
        <v>2509</v>
      </c>
      <c r="D118" s="6">
        <v>1224</v>
      </c>
      <c r="E118" s="6">
        <v>1285</v>
      </c>
    </row>
    <row r="119" spans="1:5" x14ac:dyDescent="0.3">
      <c r="A119" s="6">
        <f t="shared" si="39"/>
        <v>118</v>
      </c>
      <c r="B119" s="14" t="s">
        <v>181</v>
      </c>
      <c r="C119" s="14">
        <v>2507</v>
      </c>
      <c r="D119" s="14">
        <v>1157</v>
      </c>
      <c r="E119" s="14">
        <v>1350</v>
      </c>
    </row>
    <row r="120" spans="1:5" x14ac:dyDescent="0.3">
      <c r="A120" s="6">
        <f t="shared" si="39"/>
        <v>119</v>
      </c>
      <c r="B120" s="14" t="s">
        <v>176</v>
      </c>
      <c r="C120" s="14">
        <v>2505</v>
      </c>
      <c r="D120" s="14">
        <v>1176</v>
      </c>
      <c r="E120" s="14">
        <v>1329</v>
      </c>
    </row>
    <row r="121" spans="1:5" x14ac:dyDescent="0.3">
      <c r="A121" s="6">
        <f t="shared" si="39"/>
        <v>120</v>
      </c>
      <c r="B121" s="14" t="s">
        <v>175</v>
      </c>
      <c r="C121" s="14">
        <v>2493</v>
      </c>
      <c r="D121" s="14">
        <v>1180</v>
      </c>
      <c r="E121" s="14">
        <v>1313</v>
      </c>
    </row>
    <row r="122" spans="1:5" x14ac:dyDescent="0.3">
      <c r="A122" s="6">
        <f t="shared" si="39"/>
        <v>121</v>
      </c>
      <c r="B122" s="14" t="s">
        <v>183</v>
      </c>
      <c r="C122" s="14">
        <v>2491</v>
      </c>
      <c r="D122" s="14">
        <v>1119</v>
      </c>
      <c r="E122" s="14">
        <v>1372</v>
      </c>
    </row>
    <row r="123" spans="1:5" x14ac:dyDescent="0.3">
      <c r="A123" s="6">
        <f t="shared" si="39"/>
        <v>122</v>
      </c>
      <c r="B123" s="10" t="s">
        <v>141</v>
      </c>
      <c r="C123" s="10">
        <v>2490</v>
      </c>
      <c r="D123" s="10">
        <v>1130</v>
      </c>
      <c r="E123" s="10">
        <v>1360</v>
      </c>
    </row>
    <row r="124" spans="1:5" x14ac:dyDescent="0.3">
      <c r="A124" s="6">
        <f t="shared" si="39"/>
        <v>123</v>
      </c>
      <c r="B124" s="14" t="s">
        <v>184</v>
      </c>
      <c r="C124" s="14">
        <v>2488</v>
      </c>
      <c r="D124" s="14">
        <v>1147</v>
      </c>
      <c r="E124" s="14">
        <v>1341</v>
      </c>
    </row>
    <row r="125" spans="1:5" x14ac:dyDescent="0.3">
      <c r="A125" s="6">
        <f t="shared" si="39"/>
        <v>124</v>
      </c>
      <c r="B125" s="6" t="s">
        <v>207</v>
      </c>
      <c r="C125" s="6">
        <v>2487</v>
      </c>
      <c r="D125" s="6">
        <v>1192</v>
      </c>
      <c r="E125" s="6">
        <v>1295</v>
      </c>
    </row>
    <row r="126" spans="1:5" x14ac:dyDescent="0.3">
      <c r="A126" s="6">
        <f t="shared" si="39"/>
        <v>125</v>
      </c>
      <c r="B126" s="14" t="s">
        <v>187</v>
      </c>
      <c r="C126" s="14">
        <v>2462</v>
      </c>
      <c r="D126" s="14">
        <v>1126</v>
      </c>
      <c r="E126" s="14">
        <v>1336</v>
      </c>
    </row>
    <row r="127" spans="1:5" x14ac:dyDescent="0.3">
      <c r="A127" s="6">
        <f t="shared" si="39"/>
        <v>126</v>
      </c>
      <c r="B127" s="6" t="s">
        <v>279</v>
      </c>
      <c r="C127" s="6">
        <v>2460</v>
      </c>
      <c r="D127" s="6">
        <v>1172</v>
      </c>
      <c r="E127" s="6">
        <v>1288</v>
      </c>
    </row>
    <row r="128" spans="1:5" x14ac:dyDescent="0.3">
      <c r="A128" s="6">
        <f t="shared" si="39"/>
        <v>127</v>
      </c>
      <c r="B128" s="10" t="s">
        <v>140</v>
      </c>
      <c r="C128" s="10">
        <v>2454</v>
      </c>
      <c r="D128" s="10">
        <v>1132</v>
      </c>
      <c r="E128" s="10">
        <v>1322</v>
      </c>
    </row>
    <row r="129" spans="1:5" x14ac:dyDescent="0.3">
      <c r="A129" s="6">
        <f t="shared" si="39"/>
        <v>128</v>
      </c>
      <c r="B129" s="14" t="s">
        <v>173</v>
      </c>
      <c r="C129" s="14">
        <v>2451</v>
      </c>
      <c r="D129" s="14">
        <v>1148</v>
      </c>
      <c r="E129" s="14">
        <v>1303</v>
      </c>
    </row>
    <row r="130" spans="1:5" x14ac:dyDescent="0.3">
      <c r="A130" s="6">
        <f t="shared" si="39"/>
        <v>129</v>
      </c>
      <c r="B130" s="23" t="s">
        <v>66</v>
      </c>
      <c r="C130" s="23">
        <v>2447</v>
      </c>
      <c r="D130" s="23">
        <v>1114</v>
      </c>
      <c r="E130" s="23">
        <v>1333</v>
      </c>
    </row>
    <row r="131" spans="1:5" x14ac:dyDescent="0.3">
      <c r="A131" s="6">
        <f t="shared" si="39"/>
        <v>130</v>
      </c>
      <c r="B131" s="10" t="s">
        <v>142</v>
      </c>
      <c r="C131" s="10">
        <v>2447</v>
      </c>
      <c r="D131" s="10">
        <v>1133</v>
      </c>
      <c r="E131" s="10">
        <v>1314</v>
      </c>
    </row>
    <row r="132" spans="1:5" x14ac:dyDescent="0.3">
      <c r="A132" s="6">
        <f t="shared" si="39"/>
        <v>131</v>
      </c>
      <c r="B132" s="6" t="s">
        <v>213</v>
      </c>
      <c r="C132" s="6">
        <v>2438</v>
      </c>
      <c r="D132" s="6">
        <v>1106</v>
      </c>
      <c r="E132" s="6">
        <v>1332</v>
      </c>
    </row>
    <row r="133" spans="1:5" x14ac:dyDescent="0.3">
      <c r="A133" s="6">
        <f t="shared" si="39"/>
        <v>132</v>
      </c>
      <c r="B133" s="14" t="s">
        <v>191</v>
      </c>
      <c r="C133" s="14">
        <v>2384</v>
      </c>
      <c r="D133" s="14">
        <v>1080</v>
      </c>
      <c r="E133" s="14">
        <v>1304</v>
      </c>
    </row>
    <row r="134" spans="1:5" x14ac:dyDescent="0.3">
      <c r="A134" s="6">
        <f t="shared" si="39"/>
        <v>133</v>
      </c>
      <c r="B134" s="6" t="s">
        <v>281</v>
      </c>
      <c r="C134" s="6">
        <v>2379</v>
      </c>
      <c r="D134" s="6">
        <v>1086</v>
      </c>
      <c r="E134" s="6">
        <v>1293</v>
      </c>
    </row>
    <row r="135" spans="1:5" x14ac:dyDescent="0.3">
      <c r="A135" s="6">
        <f t="shared" si="39"/>
        <v>134</v>
      </c>
      <c r="B135" s="10" t="s">
        <v>143</v>
      </c>
      <c r="C135" s="10">
        <v>2373</v>
      </c>
      <c r="D135" s="10">
        <v>1085</v>
      </c>
      <c r="E135" s="10">
        <v>1288</v>
      </c>
    </row>
    <row r="136" spans="1:5" x14ac:dyDescent="0.3">
      <c r="A136" s="6">
        <f t="shared" si="39"/>
        <v>135</v>
      </c>
      <c r="B136" s="14" t="s">
        <v>192</v>
      </c>
      <c r="C136" s="14">
        <v>2364</v>
      </c>
      <c r="D136" s="14">
        <v>1077</v>
      </c>
      <c r="E136" s="14">
        <v>1287</v>
      </c>
    </row>
    <row r="137" spans="1:5" x14ac:dyDescent="0.3">
      <c r="A137" s="6">
        <f t="shared" si="39"/>
        <v>136</v>
      </c>
      <c r="B137" s="14" t="s">
        <v>190</v>
      </c>
      <c r="C137" s="14">
        <v>2363</v>
      </c>
      <c r="D137" s="14">
        <v>1078</v>
      </c>
      <c r="E137" s="14">
        <v>1285</v>
      </c>
    </row>
    <row r="138" spans="1:5" x14ac:dyDescent="0.3">
      <c r="A138" s="6">
        <f t="shared" si="39"/>
        <v>137</v>
      </c>
      <c r="B138" s="14" t="s">
        <v>188</v>
      </c>
      <c r="C138" s="14">
        <v>2361</v>
      </c>
      <c r="D138" s="14">
        <v>1122</v>
      </c>
      <c r="E138" s="14">
        <v>1239</v>
      </c>
    </row>
    <row r="139" spans="1:5" x14ac:dyDescent="0.3">
      <c r="A139" s="6">
        <f t="shared" si="39"/>
        <v>138</v>
      </c>
      <c r="B139" s="23" t="s">
        <v>73</v>
      </c>
      <c r="C139" s="23">
        <v>2359</v>
      </c>
      <c r="D139" s="23">
        <v>1076</v>
      </c>
      <c r="E139" s="23">
        <v>1283</v>
      </c>
    </row>
    <row r="140" spans="1:5" x14ac:dyDescent="0.3">
      <c r="A140" s="6">
        <f t="shared" si="39"/>
        <v>139</v>
      </c>
      <c r="B140" s="14" t="s">
        <v>177</v>
      </c>
      <c r="C140" s="14">
        <v>2356</v>
      </c>
      <c r="D140" s="14">
        <v>1108</v>
      </c>
      <c r="E140" s="14">
        <v>1248</v>
      </c>
    </row>
    <row r="141" spans="1:5" x14ac:dyDescent="0.3">
      <c r="A141" s="6">
        <f t="shared" si="39"/>
        <v>140</v>
      </c>
      <c r="B141" s="23" t="s">
        <v>68</v>
      </c>
      <c r="C141" s="23">
        <v>2341</v>
      </c>
      <c r="D141" s="23">
        <v>1049</v>
      </c>
      <c r="E141" s="23">
        <v>1292</v>
      </c>
    </row>
    <row r="142" spans="1:5" x14ac:dyDescent="0.3">
      <c r="A142" s="6">
        <f t="shared" si="39"/>
        <v>141</v>
      </c>
      <c r="B142" s="10" t="s">
        <v>144</v>
      </c>
      <c r="C142" s="10">
        <v>2335</v>
      </c>
      <c r="D142" s="10">
        <v>1056</v>
      </c>
      <c r="E142" s="10">
        <v>1279</v>
      </c>
    </row>
    <row r="143" spans="1:5" x14ac:dyDescent="0.3">
      <c r="A143" s="6">
        <f t="shared" si="39"/>
        <v>142</v>
      </c>
      <c r="B143" s="14" t="s">
        <v>193</v>
      </c>
      <c r="C143" s="14">
        <v>2330</v>
      </c>
      <c r="D143" s="14">
        <v>1063</v>
      </c>
      <c r="E143" s="14">
        <v>1267</v>
      </c>
    </row>
    <row r="144" spans="1:5" x14ac:dyDescent="0.3">
      <c r="A144" s="6">
        <f t="shared" si="39"/>
        <v>143</v>
      </c>
      <c r="B144" s="16" t="s">
        <v>221</v>
      </c>
      <c r="C144" s="16">
        <v>2322</v>
      </c>
      <c r="D144" s="16">
        <v>1036</v>
      </c>
      <c r="E144" s="16">
        <v>1286</v>
      </c>
    </row>
    <row r="145" spans="1:5" x14ac:dyDescent="0.3">
      <c r="A145" s="6">
        <f t="shared" si="39"/>
        <v>144</v>
      </c>
      <c r="B145" s="14" t="s">
        <v>186</v>
      </c>
      <c r="C145" s="14">
        <v>2316</v>
      </c>
      <c r="D145" s="14">
        <v>1080</v>
      </c>
      <c r="E145" s="14">
        <v>1236</v>
      </c>
    </row>
    <row r="146" spans="1:5" x14ac:dyDescent="0.3">
      <c r="A146" s="6">
        <f t="shared" si="39"/>
        <v>145</v>
      </c>
      <c r="B146" s="14" t="s">
        <v>178</v>
      </c>
      <c r="C146" s="14">
        <v>2312</v>
      </c>
      <c r="D146" s="14">
        <v>1105</v>
      </c>
      <c r="E146" s="14">
        <v>1207</v>
      </c>
    </row>
    <row r="147" spans="1:5" x14ac:dyDescent="0.3">
      <c r="A147" s="6">
        <f t="shared" si="39"/>
        <v>146</v>
      </c>
      <c r="B147" s="6" t="s">
        <v>282</v>
      </c>
      <c r="C147" s="6">
        <v>2287</v>
      </c>
      <c r="D147" s="6">
        <v>1078</v>
      </c>
      <c r="E147" s="6">
        <v>1209</v>
      </c>
    </row>
    <row r="148" spans="1:5" x14ac:dyDescent="0.3">
      <c r="A148" s="6">
        <f t="shared" si="39"/>
        <v>147</v>
      </c>
      <c r="B148" s="6" t="s">
        <v>302</v>
      </c>
      <c r="C148" s="6">
        <v>2279</v>
      </c>
      <c r="D148" s="6">
        <v>1100</v>
      </c>
      <c r="E148" s="6">
        <v>1179</v>
      </c>
    </row>
    <row r="149" spans="1:5" x14ac:dyDescent="0.3">
      <c r="A149" s="6">
        <f t="shared" si="39"/>
        <v>148</v>
      </c>
      <c r="B149" s="10" t="s">
        <v>145</v>
      </c>
      <c r="C149" s="10">
        <v>2278</v>
      </c>
      <c r="D149" s="10">
        <v>1008</v>
      </c>
      <c r="E149" s="10">
        <v>1270</v>
      </c>
    </row>
    <row r="150" spans="1:5" x14ac:dyDescent="0.3">
      <c r="A150" s="6">
        <f t="shared" si="39"/>
        <v>149</v>
      </c>
      <c r="B150" s="14" t="s">
        <v>194</v>
      </c>
      <c r="C150" s="14">
        <v>2262</v>
      </c>
      <c r="D150" s="14">
        <v>1064</v>
      </c>
      <c r="E150" s="14">
        <v>1198</v>
      </c>
    </row>
    <row r="151" spans="1:5" x14ac:dyDescent="0.3">
      <c r="A151" s="6">
        <f t="shared" si="39"/>
        <v>150</v>
      </c>
      <c r="B151" s="6" t="s">
        <v>283</v>
      </c>
      <c r="C151" s="6">
        <v>2260</v>
      </c>
      <c r="D151" s="6">
        <v>1065</v>
      </c>
      <c r="E151" s="6">
        <v>1195</v>
      </c>
    </row>
    <row r="152" spans="1:5" x14ac:dyDescent="0.3">
      <c r="A152" s="6">
        <f t="shared" si="39"/>
        <v>151</v>
      </c>
      <c r="B152" s="10" t="s">
        <v>147</v>
      </c>
      <c r="C152" s="10">
        <v>2247</v>
      </c>
      <c r="D152" s="10">
        <v>992</v>
      </c>
      <c r="E152" s="10">
        <v>1255</v>
      </c>
    </row>
    <row r="153" spans="1:5" x14ac:dyDescent="0.3">
      <c r="A153" s="6">
        <f t="shared" si="39"/>
        <v>152</v>
      </c>
      <c r="B153" s="23" t="s">
        <v>59</v>
      </c>
      <c r="C153" s="23">
        <v>2220</v>
      </c>
      <c r="D153" s="23">
        <v>981</v>
      </c>
      <c r="E153" s="23">
        <v>1239</v>
      </c>
    </row>
    <row r="154" spans="1:5" x14ac:dyDescent="0.3">
      <c r="A154" s="6">
        <f t="shared" si="39"/>
        <v>153</v>
      </c>
      <c r="B154" s="6" t="s">
        <v>280</v>
      </c>
      <c r="C154" s="6">
        <v>2212</v>
      </c>
      <c r="D154" s="6">
        <v>1084</v>
      </c>
      <c r="E154" s="6">
        <v>1128</v>
      </c>
    </row>
    <row r="155" spans="1:5" x14ac:dyDescent="0.3">
      <c r="A155" s="6">
        <f t="shared" si="39"/>
        <v>154</v>
      </c>
      <c r="B155" s="16" t="s">
        <v>228</v>
      </c>
      <c r="C155" s="16">
        <v>2196</v>
      </c>
      <c r="D155" s="16">
        <v>1019</v>
      </c>
      <c r="E155" s="16">
        <v>1177</v>
      </c>
    </row>
    <row r="156" spans="1:5" x14ac:dyDescent="0.3">
      <c r="A156" s="6">
        <f t="shared" si="39"/>
        <v>155</v>
      </c>
      <c r="B156" s="6" t="s">
        <v>284</v>
      </c>
      <c r="C156" s="6">
        <v>2191</v>
      </c>
      <c r="D156" s="6">
        <v>1057</v>
      </c>
      <c r="E156" s="6">
        <v>1134</v>
      </c>
    </row>
    <row r="157" spans="1:5" x14ac:dyDescent="0.3">
      <c r="A157" s="6">
        <f t="shared" si="39"/>
        <v>156</v>
      </c>
      <c r="B157" s="23" t="s">
        <v>83</v>
      </c>
      <c r="C157" s="23">
        <v>2159</v>
      </c>
      <c r="D157" s="23">
        <v>1024</v>
      </c>
      <c r="E157" s="23">
        <v>1135</v>
      </c>
    </row>
    <row r="158" spans="1:5" x14ac:dyDescent="0.3">
      <c r="A158" s="6">
        <f t="shared" si="39"/>
        <v>157</v>
      </c>
      <c r="B158" s="16" t="s">
        <v>222</v>
      </c>
      <c r="C158" s="16">
        <v>2128</v>
      </c>
      <c r="D158" s="16">
        <v>1024</v>
      </c>
      <c r="E158" s="16">
        <v>1104</v>
      </c>
    </row>
    <row r="159" spans="1:5" x14ac:dyDescent="0.3">
      <c r="A159" s="6">
        <f t="shared" si="39"/>
        <v>158</v>
      </c>
      <c r="B159" s="14" t="s">
        <v>195</v>
      </c>
      <c r="C159" s="14">
        <v>2127</v>
      </c>
      <c r="D159" s="14">
        <v>979</v>
      </c>
      <c r="E159" s="14">
        <v>1148</v>
      </c>
    </row>
    <row r="160" spans="1:5" x14ac:dyDescent="0.3">
      <c r="A160" s="6">
        <f t="shared" si="39"/>
        <v>159</v>
      </c>
      <c r="B160" s="6" t="s">
        <v>285</v>
      </c>
      <c r="C160" s="6">
        <v>2125</v>
      </c>
      <c r="D160" s="6">
        <v>1024</v>
      </c>
      <c r="E160" s="6">
        <v>1101</v>
      </c>
    </row>
    <row r="161" spans="1:5" x14ac:dyDescent="0.3">
      <c r="A161" s="6">
        <f t="shared" si="39"/>
        <v>160</v>
      </c>
      <c r="B161" s="16" t="s">
        <v>223</v>
      </c>
      <c r="C161" s="16">
        <v>2119</v>
      </c>
      <c r="D161" s="16">
        <v>1002</v>
      </c>
      <c r="E161" s="16">
        <v>1117</v>
      </c>
    </row>
    <row r="162" spans="1:5" x14ac:dyDescent="0.3">
      <c r="A162" s="6">
        <f t="shared" si="39"/>
        <v>161</v>
      </c>
      <c r="B162" s="23" t="s">
        <v>55</v>
      </c>
      <c r="C162" s="23">
        <v>2109</v>
      </c>
      <c r="D162" s="23">
        <v>968</v>
      </c>
      <c r="E162" s="23">
        <v>1141</v>
      </c>
    </row>
    <row r="163" spans="1:5" x14ac:dyDescent="0.3">
      <c r="A163" s="6">
        <f t="shared" si="39"/>
        <v>162</v>
      </c>
      <c r="B163" s="16" t="s">
        <v>226</v>
      </c>
      <c r="C163" s="16">
        <v>2109</v>
      </c>
      <c r="D163" s="16">
        <v>974</v>
      </c>
      <c r="E163" s="16">
        <v>1135</v>
      </c>
    </row>
    <row r="164" spans="1:5" x14ac:dyDescent="0.3">
      <c r="A164" s="6">
        <f t="shared" si="39"/>
        <v>163</v>
      </c>
      <c r="B164" s="23" t="s">
        <v>62</v>
      </c>
      <c r="C164" s="23">
        <v>2092</v>
      </c>
      <c r="D164" s="23">
        <v>975</v>
      </c>
      <c r="E164" s="23">
        <v>1117</v>
      </c>
    </row>
    <row r="165" spans="1:5" x14ac:dyDescent="0.3">
      <c r="A165" s="6">
        <f t="shared" si="39"/>
        <v>164</v>
      </c>
      <c r="B165" s="14" t="s">
        <v>268</v>
      </c>
      <c r="C165" s="14">
        <v>2088</v>
      </c>
      <c r="D165" s="14">
        <v>887</v>
      </c>
      <c r="E165" s="14">
        <v>1201</v>
      </c>
    </row>
    <row r="166" spans="1:5" x14ac:dyDescent="0.3">
      <c r="A166" s="6">
        <f t="shared" si="39"/>
        <v>165</v>
      </c>
      <c r="B166" s="16" t="s">
        <v>225</v>
      </c>
      <c r="C166" s="16">
        <v>2085</v>
      </c>
      <c r="D166" s="16">
        <v>1031</v>
      </c>
      <c r="E166" s="16">
        <v>1054</v>
      </c>
    </row>
    <row r="167" spans="1:5" x14ac:dyDescent="0.3">
      <c r="A167" s="6">
        <f t="shared" si="39"/>
        <v>166</v>
      </c>
      <c r="B167" s="23" t="s">
        <v>80</v>
      </c>
      <c r="C167" s="23">
        <v>2079</v>
      </c>
      <c r="D167" s="23">
        <v>981</v>
      </c>
      <c r="E167" s="23">
        <v>1098</v>
      </c>
    </row>
    <row r="168" spans="1:5" x14ac:dyDescent="0.3">
      <c r="A168" s="6">
        <f t="shared" si="39"/>
        <v>167</v>
      </c>
      <c r="B168" s="14" t="s">
        <v>196</v>
      </c>
      <c r="C168" s="14">
        <v>2079</v>
      </c>
      <c r="D168" s="14">
        <v>970</v>
      </c>
      <c r="E168" s="14">
        <v>1109</v>
      </c>
    </row>
    <row r="169" spans="1:5" x14ac:dyDescent="0.3">
      <c r="A169" s="6">
        <f t="shared" si="39"/>
        <v>168</v>
      </c>
      <c r="B169" s="23" t="s">
        <v>64</v>
      </c>
      <c r="C169" s="23">
        <v>2066</v>
      </c>
      <c r="D169" s="23">
        <v>1036</v>
      </c>
      <c r="E169" s="23">
        <v>1030</v>
      </c>
    </row>
    <row r="170" spans="1:5" x14ac:dyDescent="0.3">
      <c r="A170" s="6">
        <f t="shared" si="39"/>
        <v>169</v>
      </c>
      <c r="B170" s="10" t="s">
        <v>253</v>
      </c>
      <c r="C170" s="10">
        <v>2026</v>
      </c>
      <c r="D170" s="10">
        <v>946</v>
      </c>
      <c r="E170" s="10">
        <v>1080</v>
      </c>
    </row>
    <row r="171" spans="1:5" x14ac:dyDescent="0.3">
      <c r="A171" s="6">
        <f t="shared" si="39"/>
        <v>170</v>
      </c>
      <c r="B171" s="6" t="s">
        <v>286</v>
      </c>
      <c r="C171" s="6">
        <v>1994</v>
      </c>
      <c r="D171" s="6">
        <v>1010</v>
      </c>
      <c r="E171" s="6">
        <v>984</v>
      </c>
    </row>
    <row r="172" spans="1:5" x14ac:dyDescent="0.3">
      <c r="A172" s="6">
        <f t="shared" si="39"/>
        <v>171</v>
      </c>
      <c r="B172" s="14" t="s">
        <v>198</v>
      </c>
      <c r="C172" s="14">
        <v>1984</v>
      </c>
      <c r="D172" s="14">
        <v>911</v>
      </c>
      <c r="E172" s="14">
        <v>1073</v>
      </c>
    </row>
    <row r="173" spans="1:5" x14ac:dyDescent="0.3">
      <c r="A173" s="6">
        <f t="shared" si="39"/>
        <v>172</v>
      </c>
      <c r="B173" s="23" t="s">
        <v>70</v>
      </c>
      <c r="C173" s="23">
        <v>1980</v>
      </c>
      <c r="D173" s="23">
        <v>907</v>
      </c>
      <c r="E173" s="23">
        <v>1073</v>
      </c>
    </row>
    <row r="174" spans="1:5" x14ac:dyDescent="0.3">
      <c r="A174" s="6">
        <f t="shared" si="39"/>
        <v>173</v>
      </c>
      <c r="B174" s="23" t="s">
        <v>77</v>
      </c>
      <c r="C174" s="23">
        <v>1979</v>
      </c>
      <c r="D174" s="23">
        <v>976</v>
      </c>
      <c r="E174" s="23">
        <v>1003</v>
      </c>
    </row>
    <row r="175" spans="1:5" x14ac:dyDescent="0.3">
      <c r="A175" s="6">
        <f t="shared" si="39"/>
        <v>174</v>
      </c>
      <c r="B175" s="14" t="s">
        <v>197</v>
      </c>
      <c r="C175" s="14">
        <v>1969</v>
      </c>
      <c r="D175" s="14">
        <v>896</v>
      </c>
      <c r="E175" s="14">
        <v>1073</v>
      </c>
    </row>
    <row r="176" spans="1:5" x14ac:dyDescent="0.3">
      <c r="A176" s="6">
        <f t="shared" si="39"/>
        <v>175</v>
      </c>
      <c r="B176" s="6" t="s">
        <v>287</v>
      </c>
      <c r="C176" s="6">
        <v>1929</v>
      </c>
      <c r="D176" s="6">
        <v>968</v>
      </c>
      <c r="E176" s="6">
        <v>961</v>
      </c>
    </row>
    <row r="177" spans="1:5" x14ac:dyDescent="0.3">
      <c r="A177" s="6">
        <f t="shared" si="39"/>
        <v>176</v>
      </c>
      <c r="B177" s="14" t="s">
        <v>199</v>
      </c>
      <c r="C177" s="14">
        <v>1890</v>
      </c>
      <c r="D177" s="14">
        <v>855</v>
      </c>
      <c r="E177" s="14">
        <v>1035</v>
      </c>
    </row>
    <row r="178" spans="1:5" x14ac:dyDescent="0.3">
      <c r="A178" s="6">
        <f t="shared" si="39"/>
        <v>177</v>
      </c>
      <c r="B178" s="23" t="s">
        <v>69</v>
      </c>
      <c r="C178" s="23">
        <v>1888</v>
      </c>
      <c r="D178" s="23">
        <v>916</v>
      </c>
      <c r="E178" s="23">
        <v>972</v>
      </c>
    </row>
    <row r="179" spans="1:5" x14ac:dyDescent="0.3">
      <c r="A179" s="6">
        <f t="shared" ref="A179:A221" si="40">A178+1</f>
        <v>178</v>
      </c>
      <c r="B179" s="23" t="s">
        <v>61</v>
      </c>
      <c r="C179" s="23">
        <v>1881</v>
      </c>
      <c r="D179" s="23">
        <v>986</v>
      </c>
      <c r="E179" s="23">
        <v>895</v>
      </c>
    </row>
    <row r="180" spans="1:5" x14ac:dyDescent="0.3">
      <c r="A180" s="6">
        <f t="shared" si="40"/>
        <v>179</v>
      </c>
      <c r="B180" s="23" t="s">
        <v>78</v>
      </c>
      <c r="C180" s="23">
        <v>1854</v>
      </c>
      <c r="D180" s="23">
        <v>875</v>
      </c>
      <c r="E180" s="23">
        <v>979</v>
      </c>
    </row>
    <row r="181" spans="1:5" x14ac:dyDescent="0.3">
      <c r="A181" s="6">
        <f t="shared" si="40"/>
        <v>180</v>
      </c>
      <c r="B181" s="6" t="s">
        <v>292</v>
      </c>
      <c r="C181" s="6">
        <v>1844</v>
      </c>
      <c r="D181" s="6">
        <v>902</v>
      </c>
      <c r="E181" s="6">
        <v>942</v>
      </c>
    </row>
    <row r="182" spans="1:5" x14ac:dyDescent="0.3">
      <c r="A182" s="6">
        <f t="shared" si="40"/>
        <v>181</v>
      </c>
      <c r="B182" s="23" t="s">
        <v>74</v>
      </c>
      <c r="C182" s="23">
        <v>1831</v>
      </c>
      <c r="D182" s="23">
        <v>897</v>
      </c>
      <c r="E182" s="23">
        <v>934</v>
      </c>
    </row>
    <row r="183" spans="1:5" x14ac:dyDescent="0.3">
      <c r="A183" s="6">
        <f t="shared" si="40"/>
        <v>182</v>
      </c>
      <c r="B183" s="10" t="s">
        <v>148</v>
      </c>
      <c r="C183" s="10">
        <v>1831</v>
      </c>
      <c r="D183" s="10">
        <v>820</v>
      </c>
      <c r="E183" s="10">
        <v>1011</v>
      </c>
    </row>
    <row r="184" spans="1:5" x14ac:dyDescent="0.3">
      <c r="A184" s="6">
        <f t="shared" si="40"/>
        <v>183</v>
      </c>
      <c r="B184" s="14" t="s">
        <v>202</v>
      </c>
      <c r="C184" s="14">
        <v>1818</v>
      </c>
      <c r="D184" s="14">
        <v>839</v>
      </c>
      <c r="E184" s="14">
        <v>979</v>
      </c>
    </row>
    <row r="185" spans="1:5" x14ac:dyDescent="0.3">
      <c r="A185" s="6">
        <f t="shared" si="40"/>
        <v>184</v>
      </c>
      <c r="B185" s="23" t="s">
        <v>79</v>
      </c>
      <c r="C185" s="23">
        <v>1807</v>
      </c>
      <c r="D185" s="23">
        <v>909</v>
      </c>
      <c r="E185" s="23">
        <v>898</v>
      </c>
    </row>
    <row r="186" spans="1:5" x14ac:dyDescent="0.3">
      <c r="A186" s="6">
        <f t="shared" si="40"/>
        <v>185</v>
      </c>
      <c r="B186" s="6" t="s">
        <v>291</v>
      </c>
      <c r="C186" s="6">
        <v>1807</v>
      </c>
      <c r="D186" s="6">
        <v>914</v>
      </c>
      <c r="E186" s="6">
        <v>893</v>
      </c>
    </row>
    <row r="187" spans="1:5" x14ac:dyDescent="0.3">
      <c r="A187" s="6">
        <f t="shared" si="40"/>
        <v>186</v>
      </c>
      <c r="B187" s="14" t="s">
        <v>200</v>
      </c>
      <c r="C187" s="14">
        <v>1793</v>
      </c>
      <c r="D187" s="14">
        <v>853</v>
      </c>
      <c r="E187" s="14">
        <v>940</v>
      </c>
    </row>
    <row r="188" spans="1:5" x14ac:dyDescent="0.3">
      <c r="A188" s="6">
        <f t="shared" si="40"/>
        <v>187</v>
      </c>
      <c r="B188" s="6" t="s">
        <v>290</v>
      </c>
      <c r="C188" s="6">
        <v>1793</v>
      </c>
      <c r="D188" s="6">
        <v>922</v>
      </c>
      <c r="E188" s="6">
        <v>871</v>
      </c>
    </row>
    <row r="189" spans="1:5" x14ac:dyDescent="0.3">
      <c r="A189" s="6">
        <f t="shared" si="40"/>
        <v>188</v>
      </c>
      <c r="B189" s="6" t="s">
        <v>297</v>
      </c>
      <c r="C189" s="6">
        <v>1749</v>
      </c>
      <c r="D189" s="6">
        <v>840</v>
      </c>
      <c r="E189" s="6">
        <v>909</v>
      </c>
    </row>
    <row r="190" spans="1:5" x14ac:dyDescent="0.3">
      <c r="A190" s="6">
        <f t="shared" si="40"/>
        <v>189</v>
      </c>
      <c r="B190" s="6" t="s">
        <v>288</v>
      </c>
      <c r="C190" s="6">
        <v>1744</v>
      </c>
      <c r="D190" s="6">
        <v>943</v>
      </c>
      <c r="E190" s="6">
        <v>801</v>
      </c>
    </row>
    <row r="191" spans="1:5" x14ac:dyDescent="0.3">
      <c r="A191" s="6">
        <f t="shared" si="40"/>
        <v>190</v>
      </c>
      <c r="B191" s="6" t="s">
        <v>294</v>
      </c>
      <c r="C191" s="6">
        <v>1712</v>
      </c>
      <c r="D191" s="6">
        <v>876</v>
      </c>
      <c r="E191" s="6">
        <v>836</v>
      </c>
    </row>
    <row r="192" spans="1:5" x14ac:dyDescent="0.3">
      <c r="A192" s="6">
        <f t="shared" si="40"/>
        <v>191</v>
      </c>
      <c r="B192" s="10" t="s">
        <v>150</v>
      </c>
      <c r="C192" s="10">
        <v>1692</v>
      </c>
      <c r="D192" s="10">
        <v>797</v>
      </c>
      <c r="E192" s="10">
        <v>895</v>
      </c>
    </row>
    <row r="193" spans="1:5" x14ac:dyDescent="0.3">
      <c r="A193" s="6">
        <f t="shared" si="40"/>
        <v>192</v>
      </c>
      <c r="B193" s="14" t="s">
        <v>201</v>
      </c>
      <c r="C193" s="14">
        <v>1657</v>
      </c>
      <c r="D193" s="14">
        <v>804</v>
      </c>
      <c r="E193" s="14">
        <v>853</v>
      </c>
    </row>
    <row r="194" spans="1:5" x14ac:dyDescent="0.3">
      <c r="A194" s="6">
        <f t="shared" si="40"/>
        <v>193</v>
      </c>
      <c r="B194" s="23" t="s">
        <v>60</v>
      </c>
      <c r="C194" s="23">
        <v>1650</v>
      </c>
      <c r="D194" s="23">
        <v>850</v>
      </c>
      <c r="E194" s="23">
        <v>800</v>
      </c>
    </row>
    <row r="195" spans="1:5" x14ac:dyDescent="0.3">
      <c r="A195" s="6">
        <f t="shared" si="40"/>
        <v>194</v>
      </c>
      <c r="B195" s="6" t="s">
        <v>293</v>
      </c>
      <c r="C195" s="6">
        <v>1619</v>
      </c>
      <c r="D195" s="6">
        <v>885</v>
      </c>
      <c r="E195" s="6">
        <v>734</v>
      </c>
    </row>
    <row r="196" spans="1:5" x14ac:dyDescent="0.3">
      <c r="A196" s="6">
        <f t="shared" si="40"/>
        <v>195</v>
      </c>
      <c r="B196" s="16" t="s">
        <v>227</v>
      </c>
      <c r="C196" s="16">
        <v>1604</v>
      </c>
      <c r="D196" s="16">
        <v>876</v>
      </c>
      <c r="E196" s="16">
        <v>728</v>
      </c>
    </row>
    <row r="197" spans="1:5" x14ac:dyDescent="0.3">
      <c r="A197" s="6">
        <f t="shared" si="40"/>
        <v>196</v>
      </c>
      <c r="B197" s="6" t="s">
        <v>295</v>
      </c>
      <c r="C197" s="6">
        <v>1600</v>
      </c>
      <c r="D197" s="6">
        <v>874</v>
      </c>
      <c r="E197" s="6">
        <v>726</v>
      </c>
    </row>
    <row r="198" spans="1:5" x14ac:dyDescent="0.3">
      <c r="A198" s="6">
        <f t="shared" si="40"/>
        <v>197</v>
      </c>
      <c r="B198" s="6" t="s">
        <v>300</v>
      </c>
      <c r="C198" s="6">
        <v>1565</v>
      </c>
      <c r="D198" s="6">
        <v>831</v>
      </c>
      <c r="E198" s="6">
        <v>734</v>
      </c>
    </row>
    <row r="199" spans="1:5" x14ac:dyDescent="0.3">
      <c r="A199" s="6">
        <f t="shared" si="40"/>
        <v>198</v>
      </c>
      <c r="B199" s="10" t="s">
        <v>149</v>
      </c>
      <c r="C199" s="10">
        <v>1546</v>
      </c>
      <c r="D199" s="10">
        <v>721</v>
      </c>
      <c r="E199" s="10">
        <v>825</v>
      </c>
    </row>
    <row r="200" spans="1:5" x14ac:dyDescent="0.3">
      <c r="A200" s="6">
        <f t="shared" si="40"/>
        <v>199</v>
      </c>
      <c r="B200" s="6" t="s">
        <v>299</v>
      </c>
      <c r="C200" s="6">
        <v>1525</v>
      </c>
      <c r="D200" s="6">
        <v>819</v>
      </c>
      <c r="E200" s="6">
        <v>706</v>
      </c>
    </row>
    <row r="201" spans="1:5" x14ac:dyDescent="0.3">
      <c r="A201" s="6">
        <f t="shared" si="40"/>
        <v>200</v>
      </c>
      <c r="B201" s="23" t="s">
        <v>75</v>
      </c>
      <c r="C201" s="23">
        <v>1520</v>
      </c>
      <c r="D201" s="23">
        <v>777</v>
      </c>
      <c r="E201" s="23">
        <v>743</v>
      </c>
    </row>
    <row r="202" spans="1:5" x14ac:dyDescent="0.3">
      <c r="A202" s="6">
        <f t="shared" si="40"/>
        <v>201</v>
      </c>
      <c r="B202" s="16" t="s">
        <v>270</v>
      </c>
      <c r="C202" s="16">
        <v>1499</v>
      </c>
      <c r="D202" s="16">
        <v>877</v>
      </c>
      <c r="E202" s="16">
        <v>622</v>
      </c>
    </row>
    <row r="203" spans="1:5" x14ac:dyDescent="0.3">
      <c r="A203" s="6">
        <f t="shared" si="40"/>
        <v>202</v>
      </c>
      <c r="B203" s="6" t="s">
        <v>296</v>
      </c>
      <c r="C203" s="6">
        <v>1480</v>
      </c>
      <c r="D203" s="6">
        <v>857</v>
      </c>
      <c r="E203" s="6">
        <v>623</v>
      </c>
    </row>
    <row r="204" spans="1:5" x14ac:dyDescent="0.3">
      <c r="A204" s="6">
        <f t="shared" si="40"/>
        <v>203</v>
      </c>
      <c r="B204" s="23" t="s">
        <v>65</v>
      </c>
      <c r="C204" s="23">
        <v>1471</v>
      </c>
      <c r="D204" s="23">
        <v>786</v>
      </c>
      <c r="E204" s="23">
        <v>685</v>
      </c>
    </row>
    <row r="205" spans="1:5" x14ac:dyDescent="0.3">
      <c r="A205" s="6">
        <f t="shared" si="40"/>
        <v>204</v>
      </c>
      <c r="B205" s="23" t="s">
        <v>266</v>
      </c>
      <c r="C205" s="23">
        <v>1460</v>
      </c>
      <c r="D205" s="23">
        <v>803</v>
      </c>
      <c r="E205" s="23">
        <v>657</v>
      </c>
    </row>
    <row r="206" spans="1:5" x14ac:dyDescent="0.3">
      <c r="A206" s="6">
        <f t="shared" si="40"/>
        <v>205</v>
      </c>
      <c r="B206" s="6" t="s">
        <v>298</v>
      </c>
      <c r="C206" s="6">
        <v>1447</v>
      </c>
      <c r="D206" s="6">
        <v>858</v>
      </c>
      <c r="E206" s="6">
        <v>589</v>
      </c>
    </row>
    <row r="207" spans="1:5" x14ac:dyDescent="0.3">
      <c r="A207" s="6">
        <f t="shared" si="40"/>
        <v>206</v>
      </c>
      <c r="B207" s="23" t="s">
        <v>274</v>
      </c>
      <c r="C207" s="23">
        <v>1407</v>
      </c>
      <c r="D207" s="23">
        <v>779</v>
      </c>
      <c r="E207" s="23">
        <v>628</v>
      </c>
    </row>
    <row r="208" spans="1:5" x14ac:dyDescent="0.3">
      <c r="A208" s="6">
        <f t="shared" si="40"/>
        <v>207</v>
      </c>
      <c r="B208" s="23" t="s">
        <v>85</v>
      </c>
      <c r="C208" s="23">
        <v>1406</v>
      </c>
      <c r="D208" s="23">
        <v>760</v>
      </c>
      <c r="E208" s="23">
        <v>646</v>
      </c>
    </row>
    <row r="209" spans="1:5" x14ac:dyDescent="0.3">
      <c r="A209" s="6">
        <f t="shared" si="40"/>
        <v>208</v>
      </c>
      <c r="B209" s="16" t="s">
        <v>272</v>
      </c>
      <c r="C209" s="16">
        <v>1355</v>
      </c>
      <c r="D209" s="16">
        <v>835</v>
      </c>
      <c r="E209" s="16">
        <v>520</v>
      </c>
    </row>
    <row r="210" spans="1:5" x14ac:dyDescent="0.3">
      <c r="A210" s="6">
        <f t="shared" si="40"/>
        <v>209</v>
      </c>
      <c r="B210" s="23" t="s">
        <v>261</v>
      </c>
      <c r="C210" s="23">
        <v>1338</v>
      </c>
      <c r="D210" s="23">
        <v>0</v>
      </c>
      <c r="E210" s="23">
        <v>1338</v>
      </c>
    </row>
    <row r="211" spans="1:5" x14ac:dyDescent="0.3">
      <c r="A211" s="6">
        <f t="shared" si="40"/>
        <v>210</v>
      </c>
      <c r="B211" s="14" t="s">
        <v>267</v>
      </c>
      <c r="C211" s="14">
        <v>1320</v>
      </c>
      <c r="D211" s="14">
        <v>0</v>
      </c>
      <c r="E211" s="14">
        <v>1320</v>
      </c>
    </row>
    <row r="212" spans="1:5" x14ac:dyDescent="0.3">
      <c r="A212" s="6">
        <f t="shared" si="40"/>
        <v>211</v>
      </c>
      <c r="B212" s="23" t="s">
        <v>260</v>
      </c>
      <c r="C212" s="23">
        <v>1312</v>
      </c>
      <c r="D212" s="23">
        <v>0</v>
      </c>
      <c r="E212" s="23">
        <v>1312</v>
      </c>
    </row>
    <row r="213" spans="1:5" x14ac:dyDescent="0.3">
      <c r="A213" s="6">
        <f t="shared" si="40"/>
        <v>212</v>
      </c>
      <c r="B213" s="16" t="s">
        <v>273</v>
      </c>
      <c r="C213" s="16">
        <v>1252</v>
      </c>
      <c r="D213" s="16">
        <v>883</v>
      </c>
      <c r="E213" s="16">
        <v>369</v>
      </c>
    </row>
    <row r="214" spans="1:5" x14ac:dyDescent="0.3">
      <c r="A214" s="6">
        <f t="shared" si="40"/>
        <v>213</v>
      </c>
      <c r="B214" s="23" t="s">
        <v>262</v>
      </c>
      <c r="C214" s="23">
        <v>1223</v>
      </c>
      <c r="D214" s="23">
        <v>0</v>
      </c>
      <c r="E214" s="23">
        <v>1223</v>
      </c>
    </row>
    <row r="215" spans="1:5" x14ac:dyDescent="0.3">
      <c r="A215" s="6">
        <f t="shared" si="40"/>
        <v>214</v>
      </c>
      <c r="B215" s="23" t="s">
        <v>263</v>
      </c>
      <c r="C215" s="23">
        <v>1042</v>
      </c>
      <c r="D215" s="23">
        <v>0</v>
      </c>
      <c r="E215" s="23">
        <v>1042</v>
      </c>
    </row>
    <row r="216" spans="1:5" x14ac:dyDescent="0.3">
      <c r="A216" s="6">
        <f t="shared" si="40"/>
        <v>215</v>
      </c>
      <c r="B216" s="23" t="s">
        <v>264</v>
      </c>
      <c r="C216" s="23">
        <v>975</v>
      </c>
      <c r="D216" s="23">
        <v>0</v>
      </c>
      <c r="E216" s="23">
        <v>975</v>
      </c>
    </row>
    <row r="217" spans="1:5" x14ac:dyDescent="0.3">
      <c r="A217" s="6">
        <f t="shared" si="40"/>
        <v>216</v>
      </c>
      <c r="B217" s="6" t="s">
        <v>289</v>
      </c>
      <c r="C217" s="6">
        <v>923</v>
      </c>
      <c r="D217" s="6">
        <v>923</v>
      </c>
      <c r="E217" s="6">
        <v>0</v>
      </c>
    </row>
    <row r="218" spans="1:5" x14ac:dyDescent="0.3">
      <c r="A218" s="6">
        <f t="shared" si="40"/>
        <v>217</v>
      </c>
      <c r="B218" s="16" t="s">
        <v>301</v>
      </c>
      <c r="C218" s="16">
        <v>871</v>
      </c>
      <c r="D218" s="16">
        <v>871</v>
      </c>
      <c r="E218" s="16">
        <v>0</v>
      </c>
    </row>
    <row r="219" spans="1:5" x14ac:dyDescent="0.3">
      <c r="A219" s="6">
        <f t="shared" si="40"/>
        <v>218</v>
      </c>
      <c r="B219" s="23" t="s">
        <v>265</v>
      </c>
      <c r="C219" s="23">
        <v>817</v>
      </c>
      <c r="D219" s="23">
        <v>0</v>
      </c>
      <c r="E219" s="23">
        <v>817</v>
      </c>
    </row>
    <row r="220" spans="1:5" x14ac:dyDescent="0.3">
      <c r="A220" s="6">
        <f t="shared" si="40"/>
        <v>219</v>
      </c>
      <c r="B220" s="16" t="s">
        <v>269</v>
      </c>
      <c r="C220" s="16">
        <v>756</v>
      </c>
      <c r="D220" s="16">
        <v>0</v>
      </c>
      <c r="E220" s="16">
        <v>756</v>
      </c>
    </row>
    <row r="221" spans="1:5" x14ac:dyDescent="0.3">
      <c r="A221" s="6">
        <f t="shared" si="40"/>
        <v>220</v>
      </c>
      <c r="B221" s="16" t="s">
        <v>271</v>
      </c>
      <c r="C221" s="16">
        <v>544</v>
      </c>
      <c r="D221" s="16">
        <v>0</v>
      </c>
      <c r="E221" s="16">
        <v>544</v>
      </c>
    </row>
  </sheetData>
  <sortState xmlns:xlrd2="http://schemas.microsoft.com/office/spreadsheetml/2017/richdata2" ref="B2:E221">
    <sortCondition descending="1" ref="C2:C2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2633-DC4E-4EA4-ADE8-6B1B29949A8E}">
  <dimension ref="A1:AA53"/>
  <sheetViews>
    <sheetView topLeftCell="I1" workbookViewId="0">
      <selection activeCell="F17" sqref="F17"/>
    </sheetView>
  </sheetViews>
  <sheetFormatPr baseColWidth="10" defaultColWidth="8.88671875" defaultRowHeight="14.4" x14ac:dyDescent="0.3"/>
  <cols>
    <col min="1" max="6" width="13.6640625" style="1" customWidth="1"/>
    <col min="7" max="7" width="12.77734375" style="1" customWidth="1"/>
    <col min="8" max="8" width="3.21875" style="1" customWidth="1"/>
    <col min="9" max="9" width="14.109375" style="1" customWidth="1"/>
    <col min="10" max="14" width="3.88671875" style="1" customWidth="1"/>
    <col min="15" max="16" width="8.88671875" style="1"/>
    <col min="17" max="17" width="14.88671875" style="1" customWidth="1"/>
    <col min="18" max="18" width="8.88671875" style="1"/>
    <col min="19" max="19" width="13.77734375" style="1" customWidth="1"/>
    <col min="20" max="21" width="7.5546875" style="1" customWidth="1"/>
    <col min="22" max="22" width="19.6640625" style="1" customWidth="1"/>
    <col min="23" max="23" width="8.88671875" style="1"/>
    <col min="24" max="27" width="13.77734375" style="1" customWidth="1"/>
    <col min="28" max="28" width="19.109375" style="1" customWidth="1"/>
    <col min="29" max="16384" width="8.88671875" style="1"/>
  </cols>
  <sheetData>
    <row r="1" spans="1:27" x14ac:dyDescent="0.3">
      <c r="A1" s="1" t="s">
        <v>48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Q1" s="1" t="str">
        <f>A13</f>
        <v>x</v>
      </c>
      <c r="S1" s="5"/>
      <c r="T1" s="5" t="s">
        <v>251</v>
      </c>
      <c r="U1" s="5" t="s">
        <v>249</v>
      </c>
      <c r="X1" s="1">
        <v>1</v>
      </c>
      <c r="Y1" s="1">
        <v>2</v>
      </c>
      <c r="Z1" s="1">
        <v>3</v>
      </c>
      <c r="AA1" s="1">
        <v>4</v>
      </c>
    </row>
    <row r="2" spans="1:27" x14ac:dyDescent="0.3">
      <c r="A2" s="1" t="s">
        <v>49</v>
      </c>
      <c r="B2" s="1">
        <v>6</v>
      </c>
      <c r="C2" s="1">
        <v>16</v>
      </c>
      <c r="D2" s="1">
        <v>9</v>
      </c>
      <c r="E2" s="1">
        <v>8</v>
      </c>
      <c r="F2" s="1">
        <v>1</v>
      </c>
      <c r="Q2" s="1" t="str">
        <f>A14</f>
        <v>x</v>
      </c>
      <c r="S2" s="1" t="s">
        <v>7</v>
      </c>
      <c r="T2" s="1">
        <v>1791</v>
      </c>
      <c r="U2" s="1">
        <v>1688</v>
      </c>
      <c r="X2" s="1" t="s">
        <v>7</v>
      </c>
      <c r="Y2" s="1" t="s">
        <v>45</v>
      </c>
      <c r="Z2" s="1" t="s">
        <v>45</v>
      </c>
      <c r="AA2" s="1" t="s">
        <v>45</v>
      </c>
    </row>
    <row r="3" spans="1:27" x14ac:dyDescent="0.3">
      <c r="A3" s="4"/>
      <c r="B3" s="1">
        <v>1</v>
      </c>
      <c r="D3" s="1">
        <v>1</v>
      </c>
      <c r="E3" s="1">
        <v>1</v>
      </c>
      <c r="F3" s="1">
        <v>1</v>
      </c>
      <c r="Q3" s="1" t="str">
        <f>B12</f>
        <v>x</v>
      </c>
      <c r="S3" s="1" t="s">
        <v>20</v>
      </c>
      <c r="T3" s="1">
        <v>1687</v>
      </c>
      <c r="U3" s="1">
        <v>1670</v>
      </c>
      <c r="X3" s="1" t="s">
        <v>19</v>
      </c>
      <c r="Y3" s="1" t="s">
        <v>45</v>
      </c>
      <c r="Z3" s="1" t="s">
        <v>45</v>
      </c>
      <c r="AA3" s="1" t="s">
        <v>45</v>
      </c>
    </row>
    <row r="4" spans="1:27" x14ac:dyDescent="0.3">
      <c r="I4" s="1" t="s">
        <v>6</v>
      </c>
      <c r="Q4" s="1" t="str">
        <f>D15</f>
        <v>x</v>
      </c>
      <c r="S4" s="1" t="s">
        <v>19</v>
      </c>
      <c r="T4" s="1">
        <v>1702</v>
      </c>
      <c r="U4" s="1">
        <v>1558</v>
      </c>
      <c r="X4" s="1" t="s">
        <v>20</v>
      </c>
      <c r="Y4" s="1" t="s">
        <v>45</v>
      </c>
      <c r="Z4" s="1" t="s">
        <v>45</v>
      </c>
      <c r="AA4" s="1" t="s">
        <v>45</v>
      </c>
    </row>
    <row r="5" spans="1:27" x14ac:dyDescent="0.3">
      <c r="A5" s="1" t="s">
        <v>7</v>
      </c>
      <c r="B5" s="1" t="s">
        <v>45</v>
      </c>
      <c r="C5" s="1" t="s">
        <v>45</v>
      </c>
      <c r="D5" s="1" t="s">
        <v>45</v>
      </c>
      <c r="E5" s="1" t="s">
        <v>45</v>
      </c>
      <c r="F5" s="1" t="s">
        <v>45</v>
      </c>
      <c r="H5" s="2"/>
      <c r="I5" s="2" t="s">
        <v>0</v>
      </c>
      <c r="J5" s="2" t="s">
        <v>5</v>
      </c>
      <c r="K5" s="2" t="s">
        <v>2</v>
      </c>
      <c r="L5" s="2" t="s">
        <v>3</v>
      </c>
      <c r="M5" s="2" t="s">
        <v>4</v>
      </c>
      <c r="N5" s="2" t="s">
        <v>1</v>
      </c>
      <c r="Q5" s="1" t="str">
        <f>E14</f>
        <v>x</v>
      </c>
      <c r="S5" s="1" t="s">
        <v>45</v>
      </c>
      <c r="T5" s="1">
        <v>0</v>
      </c>
      <c r="U5" s="1">
        <v>0</v>
      </c>
      <c r="Y5" s="1" t="s">
        <v>45</v>
      </c>
      <c r="Z5" s="1" t="s">
        <v>45</v>
      </c>
      <c r="AA5" s="1" t="s">
        <v>45</v>
      </c>
    </row>
    <row r="6" spans="1:27" x14ac:dyDescent="0.3">
      <c r="A6" s="1" t="s">
        <v>20</v>
      </c>
      <c r="B6" s="1" t="s">
        <v>45</v>
      </c>
      <c r="C6" s="1" t="s">
        <v>45</v>
      </c>
      <c r="D6" s="1" t="s">
        <v>45</v>
      </c>
      <c r="E6" s="1" t="s">
        <v>45</v>
      </c>
      <c r="H6" s="2">
        <f>H5+1</f>
        <v>1</v>
      </c>
      <c r="I6" s="2" t="s">
        <v>45</v>
      </c>
      <c r="J6" s="2">
        <v>0</v>
      </c>
      <c r="K6" s="2"/>
      <c r="L6" s="2"/>
      <c r="M6" s="2"/>
      <c r="N6" s="2">
        <f>K6*3+L6</f>
        <v>0</v>
      </c>
      <c r="Q6" s="1" t="str">
        <f>F7</f>
        <v>x</v>
      </c>
      <c r="S6" s="1" t="s">
        <v>45</v>
      </c>
      <c r="T6" s="1">
        <v>0</v>
      </c>
      <c r="U6" s="1">
        <v>0</v>
      </c>
      <c r="X6" s="1" t="s">
        <v>45</v>
      </c>
      <c r="Y6" s="1" t="s">
        <v>45</v>
      </c>
      <c r="Z6" s="1" t="s">
        <v>45</v>
      </c>
      <c r="AA6" s="1" t="s">
        <v>45</v>
      </c>
    </row>
    <row r="7" spans="1:27" x14ac:dyDescent="0.3">
      <c r="A7" s="1" t="s">
        <v>19</v>
      </c>
      <c r="B7" s="1" t="s">
        <v>45</v>
      </c>
      <c r="C7" s="1" t="s">
        <v>45</v>
      </c>
      <c r="D7" s="1" t="s">
        <v>45</v>
      </c>
      <c r="E7" s="1" t="s">
        <v>45</v>
      </c>
      <c r="F7" s="1" t="s">
        <v>45</v>
      </c>
      <c r="H7" s="2">
        <f t="shared" ref="H7:H8" si="0">H6+1</f>
        <v>2</v>
      </c>
      <c r="I7" s="2" t="s">
        <v>45</v>
      </c>
      <c r="J7" s="2">
        <v>0</v>
      </c>
      <c r="K7" s="2"/>
      <c r="L7" s="2"/>
      <c r="M7" s="2"/>
      <c r="N7" s="2">
        <f t="shared" ref="N7:N8" si="1">K7*3+L7</f>
        <v>0</v>
      </c>
      <c r="S7" s="1" t="s">
        <v>45</v>
      </c>
      <c r="T7" s="1">
        <v>0</v>
      </c>
      <c r="U7" s="1">
        <v>0</v>
      </c>
      <c r="X7" s="1" t="s">
        <v>45</v>
      </c>
      <c r="Y7" s="1" t="s">
        <v>45</v>
      </c>
      <c r="Z7" s="1" t="s">
        <v>45</v>
      </c>
      <c r="AA7" s="1" t="s">
        <v>45</v>
      </c>
    </row>
    <row r="8" spans="1:27" x14ac:dyDescent="0.3">
      <c r="B8" s="1" t="s">
        <v>45</v>
      </c>
      <c r="C8" s="1" t="s">
        <v>45</v>
      </c>
      <c r="D8" s="1" t="s">
        <v>45</v>
      </c>
      <c r="E8" s="1" t="s">
        <v>45</v>
      </c>
      <c r="H8" s="2">
        <f t="shared" si="0"/>
        <v>3</v>
      </c>
      <c r="I8" s="2" t="s">
        <v>45</v>
      </c>
      <c r="J8" s="2">
        <v>0</v>
      </c>
      <c r="K8" s="2"/>
      <c r="L8" s="2"/>
      <c r="M8" s="2"/>
      <c r="N8" s="2">
        <f t="shared" si="1"/>
        <v>0</v>
      </c>
      <c r="Q8" s="1" t="s">
        <v>7</v>
      </c>
      <c r="S8" s="1" t="s">
        <v>45</v>
      </c>
      <c r="T8" s="1">
        <v>0</v>
      </c>
      <c r="U8" s="1">
        <v>0</v>
      </c>
      <c r="X8" s="1" t="s">
        <v>45</v>
      </c>
      <c r="Y8" s="1" t="s">
        <v>45</v>
      </c>
      <c r="Z8" s="1" t="s">
        <v>45</v>
      </c>
      <c r="AA8" s="1" t="s">
        <v>45</v>
      </c>
    </row>
    <row r="9" spans="1:27" x14ac:dyDescent="0.3">
      <c r="A9" s="1" t="s">
        <v>45</v>
      </c>
      <c r="B9" s="1" t="s">
        <v>45</v>
      </c>
      <c r="C9" s="1" t="s">
        <v>45</v>
      </c>
      <c r="D9" s="1" t="s">
        <v>45</v>
      </c>
      <c r="E9" s="1" t="s">
        <v>45</v>
      </c>
      <c r="Q9" s="1" t="s">
        <v>20</v>
      </c>
      <c r="S9" s="1" t="s">
        <v>45</v>
      </c>
      <c r="T9" s="1">
        <v>0</v>
      </c>
      <c r="U9" s="1">
        <v>0</v>
      </c>
      <c r="X9" s="1" t="s">
        <v>45</v>
      </c>
      <c r="Y9" s="1" t="s">
        <v>45</v>
      </c>
      <c r="Z9" s="1" t="s">
        <v>45</v>
      </c>
      <c r="AA9" s="1" t="s">
        <v>45</v>
      </c>
    </row>
    <row r="10" spans="1:27" x14ac:dyDescent="0.3">
      <c r="A10" s="1" t="s">
        <v>45</v>
      </c>
      <c r="B10" s="1" t="s">
        <v>45</v>
      </c>
      <c r="C10" s="1" t="s">
        <v>45</v>
      </c>
      <c r="D10" s="1" t="s">
        <v>45</v>
      </c>
      <c r="E10" s="1" t="s">
        <v>45</v>
      </c>
      <c r="Q10" s="1" t="s">
        <v>19</v>
      </c>
      <c r="S10" s="1" t="s">
        <v>45</v>
      </c>
      <c r="T10" s="1">
        <v>0</v>
      </c>
      <c r="U10" s="1">
        <v>0</v>
      </c>
      <c r="X10" s="1" t="s">
        <v>45</v>
      </c>
      <c r="Y10" s="1" t="s">
        <v>45</v>
      </c>
      <c r="Z10" s="1" t="s">
        <v>45</v>
      </c>
      <c r="AA10" s="1" t="s">
        <v>45</v>
      </c>
    </row>
    <row r="11" spans="1:27" x14ac:dyDescent="0.3">
      <c r="A11" s="1" t="s">
        <v>45</v>
      </c>
      <c r="C11" s="1" t="s">
        <v>45</v>
      </c>
      <c r="D11" s="1" t="s">
        <v>45</v>
      </c>
      <c r="E11" s="1" t="s">
        <v>45</v>
      </c>
      <c r="Q11" s="1" t="str">
        <f>A9</f>
        <v>x</v>
      </c>
      <c r="S11" s="1" t="s">
        <v>45</v>
      </c>
      <c r="T11" s="1">
        <v>0</v>
      </c>
      <c r="U11" s="1">
        <v>0</v>
      </c>
      <c r="X11" s="1" t="s">
        <v>45</v>
      </c>
      <c r="Y11" s="1" t="s">
        <v>45</v>
      </c>
      <c r="Z11" s="1" t="s">
        <v>45</v>
      </c>
      <c r="AA11" s="1" t="s">
        <v>45</v>
      </c>
    </row>
    <row r="12" spans="1:27" x14ac:dyDescent="0.3">
      <c r="B12" s="1" t="s">
        <v>45</v>
      </c>
      <c r="C12" s="1" t="s">
        <v>45</v>
      </c>
      <c r="D12" s="1" t="s">
        <v>45</v>
      </c>
      <c r="E12" s="1" t="s">
        <v>45</v>
      </c>
      <c r="Q12" s="1" t="str">
        <f>A10</f>
        <v>x</v>
      </c>
      <c r="S12" s="1" t="s">
        <v>45</v>
      </c>
      <c r="T12" s="1">
        <v>0</v>
      </c>
      <c r="U12" s="1">
        <v>0</v>
      </c>
      <c r="X12" s="1" t="s">
        <v>45</v>
      </c>
      <c r="Y12" s="1" t="s">
        <v>45</v>
      </c>
      <c r="Z12" s="1" t="s">
        <v>45</v>
      </c>
      <c r="AA12" s="1" t="s">
        <v>45</v>
      </c>
    </row>
    <row r="13" spans="1:27" x14ac:dyDescent="0.3">
      <c r="A13" s="1" t="s">
        <v>45</v>
      </c>
      <c r="C13" s="1" t="s">
        <v>45</v>
      </c>
      <c r="D13" s="1" t="s">
        <v>45</v>
      </c>
      <c r="I13" s="1" t="s">
        <v>8</v>
      </c>
      <c r="Q13" s="1" t="str">
        <f>A11</f>
        <v>x</v>
      </c>
      <c r="S13" s="1" t="s">
        <v>45</v>
      </c>
      <c r="T13" s="1">
        <v>0</v>
      </c>
      <c r="U13" s="1">
        <v>0</v>
      </c>
      <c r="X13" s="1" t="s">
        <v>45</v>
      </c>
      <c r="Y13" s="1" t="s">
        <v>45</v>
      </c>
      <c r="Z13" s="1" t="s">
        <v>45</v>
      </c>
      <c r="AA13" s="1" t="s">
        <v>45</v>
      </c>
    </row>
    <row r="14" spans="1:27" x14ac:dyDescent="0.3">
      <c r="A14" s="1" t="s">
        <v>45</v>
      </c>
      <c r="C14" s="1" t="s">
        <v>45</v>
      </c>
      <c r="E14" s="1" t="s">
        <v>45</v>
      </c>
      <c r="H14" s="2"/>
      <c r="I14" s="2" t="s">
        <v>0</v>
      </c>
      <c r="J14" s="2" t="s">
        <v>5</v>
      </c>
      <c r="K14" s="2" t="s">
        <v>2</v>
      </c>
      <c r="L14" s="2" t="s">
        <v>3</v>
      </c>
      <c r="M14" s="2" t="s">
        <v>4</v>
      </c>
      <c r="N14" s="2" t="s">
        <v>1</v>
      </c>
      <c r="Q14" s="1" t="str">
        <f t="shared" ref="Q14:Q19" si="2">B5</f>
        <v>x</v>
      </c>
      <c r="S14" s="1" t="s">
        <v>45</v>
      </c>
      <c r="T14" s="1">
        <v>0</v>
      </c>
      <c r="U14" s="1">
        <v>0</v>
      </c>
      <c r="X14" s="1" t="s">
        <v>45</v>
      </c>
    </row>
    <row r="15" spans="1:27" x14ac:dyDescent="0.3">
      <c r="C15" s="1" t="s">
        <v>45</v>
      </c>
      <c r="D15" s="1" t="s">
        <v>45</v>
      </c>
      <c r="H15" s="2">
        <f>H14+1</f>
        <v>1</v>
      </c>
      <c r="I15" s="2" t="s">
        <v>45</v>
      </c>
      <c r="J15" s="2">
        <v>0</v>
      </c>
      <c r="K15" s="2"/>
      <c r="L15" s="2"/>
      <c r="M15" s="2"/>
      <c r="N15" s="2">
        <f>K15*3+L15</f>
        <v>0</v>
      </c>
      <c r="Q15" s="1" t="str">
        <f t="shared" si="2"/>
        <v>x</v>
      </c>
      <c r="S15" s="1" t="s">
        <v>45</v>
      </c>
      <c r="T15" s="1">
        <v>0</v>
      </c>
      <c r="U15" s="1">
        <v>0</v>
      </c>
    </row>
    <row r="16" spans="1:27" x14ac:dyDescent="0.3">
      <c r="C16" s="1" t="s">
        <v>45</v>
      </c>
      <c r="H16" s="2">
        <f t="shared" ref="H16:H17" si="3">H15+1</f>
        <v>2</v>
      </c>
      <c r="I16" s="2" t="s">
        <v>45</v>
      </c>
      <c r="J16" s="2">
        <v>0</v>
      </c>
      <c r="K16" s="2"/>
      <c r="L16" s="2"/>
      <c r="M16" s="2"/>
      <c r="N16" s="2">
        <f t="shared" ref="N16:N17" si="4">K16*3+L16</f>
        <v>0</v>
      </c>
      <c r="Q16" s="1" t="str">
        <f t="shared" si="2"/>
        <v>x</v>
      </c>
      <c r="S16" s="1" t="s">
        <v>45</v>
      </c>
      <c r="T16" s="1">
        <v>0</v>
      </c>
      <c r="U16" s="1">
        <v>0</v>
      </c>
    </row>
    <row r="17" spans="3:27" x14ac:dyDescent="0.3">
      <c r="C17" s="1" t="s">
        <v>45</v>
      </c>
      <c r="H17" s="2">
        <f t="shared" si="3"/>
        <v>3</v>
      </c>
      <c r="I17" s="2" t="s">
        <v>45</v>
      </c>
      <c r="J17" s="2">
        <v>0</v>
      </c>
      <c r="K17" s="2"/>
      <c r="L17" s="2"/>
      <c r="M17" s="2"/>
      <c r="N17" s="2">
        <f t="shared" si="4"/>
        <v>0</v>
      </c>
      <c r="Q17" s="1" t="str">
        <f t="shared" si="2"/>
        <v>x</v>
      </c>
      <c r="S17" s="1" t="s">
        <v>45</v>
      </c>
      <c r="T17" s="1">
        <v>0</v>
      </c>
      <c r="U17" s="1">
        <v>0</v>
      </c>
      <c r="X17" s="1">
        <f t="shared" ref="X17:X28" ca="1" si="5">RANDBETWEEN(0,999)</f>
        <v>986</v>
      </c>
      <c r="Y17" s="1" t="s">
        <v>230</v>
      </c>
      <c r="Z17" s="1" t="s">
        <v>240</v>
      </c>
      <c r="AA17" s="1">
        <f t="shared" ref="AA17:AA28" ca="1" si="6">RANDBETWEEN(0,999)</f>
        <v>761</v>
      </c>
    </row>
    <row r="18" spans="3:27" x14ac:dyDescent="0.3">
      <c r="C18" s="1" t="s">
        <v>45</v>
      </c>
      <c r="Q18" s="1" t="str">
        <f t="shared" si="2"/>
        <v>x</v>
      </c>
      <c r="S18" s="1" t="s">
        <v>45</v>
      </c>
      <c r="T18" s="1">
        <v>0</v>
      </c>
      <c r="U18" s="1">
        <v>0</v>
      </c>
      <c r="X18" s="1">
        <f t="shared" ca="1" si="5"/>
        <v>178</v>
      </c>
      <c r="Y18" s="1" t="s">
        <v>231</v>
      </c>
      <c r="Z18" s="1" t="s">
        <v>240</v>
      </c>
      <c r="AA18" s="1">
        <f t="shared" ca="1" si="6"/>
        <v>348</v>
      </c>
    </row>
    <row r="19" spans="3:27" x14ac:dyDescent="0.3">
      <c r="C19" s="1" t="s">
        <v>45</v>
      </c>
      <c r="Q19" s="1" t="str">
        <f t="shared" si="2"/>
        <v>x</v>
      </c>
      <c r="S19" s="1" t="s">
        <v>45</v>
      </c>
      <c r="T19" s="1">
        <v>0</v>
      </c>
      <c r="U19" s="1">
        <v>0</v>
      </c>
      <c r="X19" s="1">
        <f t="shared" ca="1" si="5"/>
        <v>878</v>
      </c>
      <c r="Y19" s="1" t="s">
        <v>232</v>
      </c>
      <c r="Z19" s="1" t="s">
        <v>240</v>
      </c>
      <c r="AA19" s="1">
        <f t="shared" ca="1" si="6"/>
        <v>296</v>
      </c>
    </row>
    <row r="20" spans="3:27" x14ac:dyDescent="0.3">
      <c r="C20" s="1" t="s">
        <v>45</v>
      </c>
      <c r="Q20" s="1" t="str">
        <f t="shared" ref="Q20:Q35" si="7">C5</f>
        <v>x</v>
      </c>
      <c r="S20" s="1" t="s">
        <v>45</v>
      </c>
      <c r="T20" s="1">
        <v>0</v>
      </c>
      <c r="U20" s="1">
        <v>0</v>
      </c>
      <c r="X20" s="1">
        <f t="shared" ca="1" si="5"/>
        <v>66</v>
      </c>
      <c r="Y20" s="1" t="s">
        <v>3</v>
      </c>
      <c r="Z20" s="1" t="s">
        <v>240</v>
      </c>
      <c r="AA20" s="1">
        <f t="shared" ca="1" si="6"/>
        <v>333</v>
      </c>
    </row>
    <row r="21" spans="3:27" x14ac:dyDescent="0.3">
      <c r="Q21" s="1" t="str">
        <f t="shared" si="7"/>
        <v>x</v>
      </c>
      <c r="S21" s="1" t="s">
        <v>45</v>
      </c>
      <c r="T21" s="1">
        <v>0</v>
      </c>
      <c r="U21" s="1">
        <v>0</v>
      </c>
      <c r="X21" s="1">
        <f t="shared" ca="1" si="5"/>
        <v>537</v>
      </c>
      <c r="Y21" s="1" t="s">
        <v>234</v>
      </c>
      <c r="Z21" s="1" t="s">
        <v>240</v>
      </c>
      <c r="AA21" s="1">
        <f t="shared" ca="1" si="6"/>
        <v>517</v>
      </c>
    </row>
    <row r="22" spans="3:27" x14ac:dyDescent="0.3">
      <c r="I22" s="5" t="s">
        <v>229</v>
      </c>
      <c r="J22" s="5"/>
      <c r="Q22" s="1" t="str">
        <f t="shared" si="7"/>
        <v>x</v>
      </c>
      <c r="S22" s="1" t="s">
        <v>45</v>
      </c>
      <c r="T22" s="1">
        <v>0</v>
      </c>
      <c r="U22" s="1">
        <v>0</v>
      </c>
      <c r="X22" s="1">
        <f t="shared" ca="1" si="5"/>
        <v>869</v>
      </c>
      <c r="Y22" s="1" t="s">
        <v>235</v>
      </c>
      <c r="Z22" s="1" t="s">
        <v>240</v>
      </c>
      <c r="AA22" s="1">
        <f t="shared" ca="1" si="6"/>
        <v>6</v>
      </c>
    </row>
    <row r="23" spans="3:27" x14ac:dyDescent="0.3">
      <c r="I23" s="1" t="s">
        <v>45</v>
      </c>
      <c r="J23" s="1">
        <f t="shared" ref="J23:J28" ca="1" si="8">RANDBETWEEN(0,999)</f>
        <v>75</v>
      </c>
      <c r="Q23" s="1" t="str">
        <f t="shared" si="7"/>
        <v>x</v>
      </c>
      <c r="S23" s="1" t="s">
        <v>45</v>
      </c>
      <c r="T23" s="1">
        <v>0</v>
      </c>
      <c r="U23" s="1">
        <v>0</v>
      </c>
      <c r="X23" s="1">
        <f t="shared" ca="1" si="5"/>
        <v>647</v>
      </c>
      <c r="Y23" s="1" t="s">
        <v>233</v>
      </c>
      <c r="Z23" s="1" t="s">
        <v>240</v>
      </c>
      <c r="AA23" s="1">
        <f t="shared" ca="1" si="6"/>
        <v>51</v>
      </c>
    </row>
    <row r="24" spans="3:27" x14ac:dyDescent="0.3">
      <c r="I24" s="1" t="s">
        <v>45</v>
      </c>
      <c r="J24" s="1">
        <f t="shared" ca="1" si="8"/>
        <v>646</v>
      </c>
      <c r="Q24" s="1" t="str">
        <f t="shared" si="7"/>
        <v>x</v>
      </c>
      <c r="S24" s="1" t="s">
        <v>45</v>
      </c>
      <c r="T24" s="1">
        <v>0</v>
      </c>
      <c r="U24" s="1">
        <v>0</v>
      </c>
      <c r="X24" s="1">
        <f t="shared" ca="1" si="5"/>
        <v>552</v>
      </c>
      <c r="Y24" s="1" t="s">
        <v>236</v>
      </c>
      <c r="Z24" s="1" t="s">
        <v>240</v>
      </c>
      <c r="AA24" s="1">
        <f t="shared" ca="1" si="6"/>
        <v>167</v>
      </c>
    </row>
    <row r="25" spans="3:27" x14ac:dyDescent="0.3">
      <c r="I25" s="5" t="s">
        <v>45</v>
      </c>
      <c r="J25" s="5">
        <f t="shared" ca="1" si="8"/>
        <v>935</v>
      </c>
      <c r="Q25" s="1" t="str">
        <f t="shared" si="7"/>
        <v>x</v>
      </c>
      <c r="S25" s="1" t="s">
        <v>45</v>
      </c>
      <c r="T25" s="1">
        <v>0</v>
      </c>
      <c r="U25" s="1">
        <v>0</v>
      </c>
      <c r="X25" s="1">
        <f t="shared" ca="1" si="5"/>
        <v>529</v>
      </c>
      <c r="Y25" s="1" t="s">
        <v>237</v>
      </c>
      <c r="Z25" s="1" t="s">
        <v>240</v>
      </c>
      <c r="AA25" s="1">
        <f t="shared" ca="1" si="6"/>
        <v>621</v>
      </c>
    </row>
    <row r="26" spans="3:27" x14ac:dyDescent="0.3">
      <c r="I26" s="1" t="s">
        <v>45</v>
      </c>
      <c r="J26" s="1">
        <f t="shared" ca="1" si="8"/>
        <v>393</v>
      </c>
      <c r="Q26" s="1" t="str">
        <f t="shared" si="7"/>
        <v>x</v>
      </c>
      <c r="S26" s="1" t="s">
        <v>45</v>
      </c>
      <c r="T26" s="1">
        <v>0</v>
      </c>
      <c r="U26" s="1">
        <v>0</v>
      </c>
      <c r="X26" s="1">
        <f t="shared" ca="1" si="5"/>
        <v>416</v>
      </c>
      <c r="Y26" s="1" t="s">
        <v>238</v>
      </c>
      <c r="Z26" s="1" t="s">
        <v>240</v>
      </c>
      <c r="AA26" s="1">
        <f t="shared" ca="1" si="6"/>
        <v>833</v>
      </c>
    </row>
    <row r="27" spans="3:27" x14ac:dyDescent="0.3">
      <c r="I27" s="1" t="s">
        <v>45</v>
      </c>
      <c r="J27" s="1">
        <f t="shared" ca="1" si="8"/>
        <v>466</v>
      </c>
      <c r="Q27" s="1" t="str">
        <f t="shared" si="7"/>
        <v>x</v>
      </c>
      <c r="S27" s="1" t="s">
        <v>45</v>
      </c>
      <c r="T27" s="1">
        <v>0</v>
      </c>
      <c r="U27" s="1">
        <v>0</v>
      </c>
      <c r="X27" s="1">
        <f t="shared" ca="1" si="5"/>
        <v>704</v>
      </c>
      <c r="Y27" s="1" t="s">
        <v>239</v>
      </c>
      <c r="Z27" s="1" t="s">
        <v>240</v>
      </c>
      <c r="AA27" s="1">
        <f t="shared" ca="1" si="6"/>
        <v>643</v>
      </c>
    </row>
    <row r="28" spans="3:27" x14ac:dyDescent="0.3">
      <c r="I28" s="1" t="s">
        <v>45</v>
      </c>
      <c r="J28" s="1">
        <f t="shared" ca="1" si="8"/>
        <v>659</v>
      </c>
      <c r="Q28" s="1" t="str">
        <f t="shared" si="7"/>
        <v>x</v>
      </c>
      <c r="S28" s="1" t="s">
        <v>45</v>
      </c>
      <c r="T28" s="1">
        <v>0</v>
      </c>
      <c r="U28" s="1">
        <v>0</v>
      </c>
      <c r="X28" s="1">
        <f t="shared" ca="1" si="5"/>
        <v>264</v>
      </c>
      <c r="Y28" s="1" t="s">
        <v>4</v>
      </c>
      <c r="Z28" s="1" t="s">
        <v>240</v>
      </c>
      <c r="AA28" s="1">
        <f t="shared" ca="1" si="6"/>
        <v>255</v>
      </c>
    </row>
    <row r="29" spans="3:27" x14ac:dyDescent="0.3">
      <c r="Q29" s="1" t="str">
        <f t="shared" si="7"/>
        <v>x</v>
      </c>
      <c r="S29" s="1" t="s">
        <v>45</v>
      </c>
      <c r="T29" s="1">
        <v>0</v>
      </c>
      <c r="U29" s="1">
        <v>0</v>
      </c>
    </row>
    <row r="30" spans="3:27" x14ac:dyDescent="0.3">
      <c r="Q30" s="1" t="str">
        <f t="shared" si="7"/>
        <v>x</v>
      </c>
      <c r="S30" s="1" t="s">
        <v>45</v>
      </c>
      <c r="T30" s="1">
        <v>0</v>
      </c>
      <c r="U30" s="1">
        <v>0</v>
      </c>
    </row>
    <row r="31" spans="3:27" x14ac:dyDescent="0.3">
      <c r="Q31" s="1" t="str">
        <f t="shared" si="7"/>
        <v>x</v>
      </c>
      <c r="S31" s="1" t="s">
        <v>45</v>
      </c>
      <c r="T31" s="1">
        <v>0</v>
      </c>
      <c r="U31" s="1">
        <v>0</v>
      </c>
    </row>
    <row r="32" spans="3:27" x14ac:dyDescent="0.3">
      <c r="Q32" s="1" t="str">
        <f t="shared" si="7"/>
        <v>x</v>
      </c>
      <c r="S32" s="1" t="s">
        <v>45</v>
      </c>
      <c r="T32" s="1">
        <v>0</v>
      </c>
      <c r="U32" s="1">
        <v>0</v>
      </c>
    </row>
    <row r="33" spans="17:21" x14ac:dyDescent="0.3">
      <c r="Q33" s="1" t="str">
        <f t="shared" si="7"/>
        <v>x</v>
      </c>
      <c r="S33" s="1" t="s">
        <v>45</v>
      </c>
      <c r="T33" s="1">
        <v>0</v>
      </c>
      <c r="U33" s="1">
        <v>0</v>
      </c>
    </row>
    <row r="34" spans="17:21" x14ac:dyDescent="0.3">
      <c r="Q34" s="1" t="str">
        <f t="shared" si="7"/>
        <v>x</v>
      </c>
      <c r="S34" s="1" t="s">
        <v>45</v>
      </c>
      <c r="T34" s="1">
        <v>0</v>
      </c>
      <c r="U34" s="1">
        <v>0</v>
      </c>
    </row>
    <row r="35" spans="17:21" x14ac:dyDescent="0.3">
      <c r="Q35" s="1" t="str">
        <f t="shared" si="7"/>
        <v>x</v>
      </c>
      <c r="S35" s="1" t="s">
        <v>45</v>
      </c>
      <c r="T35" s="1">
        <v>0</v>
      </c>
      <c r="U35" s="1">
        <v>0</v>
      </c>
    </row>
    <row r="36" spans="17:21" x14ac:dyDescent="0.3">
      <c r="Q36" s="1" t="str">
        <f t="shared" ref="Q36:Q44" si="9">D5</f>
        <v>x</v>
      </c>
      <c r="S36" s="1" t="s">
        <v>45</v>
      </c>
      <c r="T36" s="1">
        <v>0</v>
      </c>
      <c r="U36" s="1">
        <v>0</v>
      </c>
    </row>
    <row r="37" spans="17:21" x14ac:dyDescent="0.3">
      <c r="Q37" s="1" t="str">
        <f t="shared" si="9"/>
        <v>x</v>
      </c>
      <c r="S37" s="1" t="s">
        <v>45</v>
      </c>
      <c r="T37" s="1">
        <v>0</v>
      </c>
      <c r="U37" s="1">
        <v>0</v>
      </c>
    </row>
    <row r="38" spans="17:21" x14ac:dyDescent="0.3">
      <c r="Q38" s="1" t="str">
        <f t="shared" si="9"/>
        <v>x</v>
      </c>
      <c r="S38" s="1" t="s">
        <v>45</v>
      </c>
      <c r="T38" s="1">
        <v>0</v>
      </c>
      <c r="U38" s="1">
        <v>0</v>
      </c>
    </row>
    <row r="39" spans="17:21" x14ac:dyDescent="0.3">
      <c r="Q39" s="1" t="str">
        <f t="shared" si="9"/>
        <v>x</v>
      </c>
      <c r="S39" s="1" t="s">
        <v>45</v>
      </c>
      <c r="T39" s="1">
        <v>0</v>
      </c>
      <c r="U39" s="1">
        <v>0</v>
      </c>
    </row>
    <row r="40" spans="17:21" x14ac:dyDescent="0.3">
      <c r="Q40" s="1" t="str">
        <f t="shared" si="9"/>
        <v>x</v>
      </c>
      <c r="S40" s="1" t="s">
        <v>45</v>
      </c>
      <c r="T40" s="1">
        <v>0</v>
      </c>
      <c r="U40" s="1">
        <v>0</v>
      </c>
    </row>
    <row r="41" spans="17:21" x14ac:dyDescent="0.3">
      <c r="Q41" s="1" t="str">
        <f t="shared" si="9"/>
        <v>x</v>
      </c>
      <c r="S41" s="1" t="s">
        <v>45</v>
      </c>
      <c r="T41" s="1">
        <v>0</v>
      </c>
      <c r="U41" s="1">
        <v>0</v>
      </c>
    </row>
    <row r="42" spans="17:21" x14ac:dyDescent="0.3">
      <c r="Q42" s="1" t="str">
        <f t="shared" si="9"/>
        <v>x</v>
      </c>
      <c r="S42" s="1" t="s">
        <v>45</v>
      </c>
      <c r="T42" s="1">
        <v>0</v>
      </c>
      <c r="U42" s="1">
        <v>0</v>
      </c>
    </row>
    <row r="43" spans="17:21" x14ac:dyDescent="0.3">
      <c r="Q43" s="1" t="str">
        <f t="shared" si="9"/>
        <v>x</v>
      </c>
      <c r="S43" s="1" t="s">
        <v>45</v>
      </c>
      <c r="T43" s="1">
        <v>0</v>
      </c>
      <c r="U43" s="1">
        <v>0</v>
      </c>
    </row>
    <row r="44" spans="17:21" x14ac:dyDescent="0.3">
      <c r="Q44" s="1" t="str">
        <f t="shared" si="9"/>
        <v>x</v>
      </c>
      <c r="S44" s="1" t="s">
        <v>45</v>
      </c>
      <c r="T44" s="1">
        <v>0</v>
      </c>
      <c r="U44" s="1">
        <v>0</v>
      </c>
    </row>
    <row r="45" spans="17:21" x14ac:dyDescent="0.3">
      <c r="Q45" s="1" t="str">
        <f t="shared" ref="Q45:Q52" si="10">E5</f>
        <v>x</v>
      </c>
      <c r="S45" s="1" t="s">
        <v>45</v>
      </c>
      <c r="T45" s="1">
        <v>0</v>
      </c>
      <c r="U45" s="1">
        <v>0</v>
      </c>
    </row>
    <row r="46" spans="17:21" x14ac:dyDescent="0.3">
      <c r="Q46" s="1" t="str">
        <f t="shared" si="10"/>
        <v>x</v>
      </c>
      <c r="S46" s="1" t="s">
        <v>45</v>
      </c>
      <c r="T46" s="1">
        <v>0</v>
      </c>
      <c r="U46" s="1">
        <v>0</v>
      </c>
    </row>
    <row r="47" spans="17:21" x14ac:dyDescent="0.3">
      <c r="Q47" s="1" t="str">
        <f t="shared" si="10"/>
        <v>x</v>
      </c>
      <c r="S47" s="1" t="s">
        <v>45</v>
      </c>
      <c r="T47" s="1">
        <v>0</v>
      </c>
      <c r="U47" s="1">
        <v>0</v>
      </c>
    </row>
    <row r="48" spans="17:21" x14ac:dyDescent="0.3">
      <c r="Q48" s="1" t="str">
        <f t="shared" si="10"/>
        <v>x</v>
      </c>
      <c r="S48" s="1" t="s">
        <v>45</v>
      </c>
      <c r="T48" s="1">
        <v>0</v>
      </c>
      <c r="U48" s="1">
        <v>0</v>
      </c>
    </row>
    <row r="49" spans="17:21" x14ac:dyDescent="0.3">
      <c r="Q49" s="1" t="str">
        <f t="shared" si="10"/>
        <v>x</v>
      </c>
      <c r="S49" s="1" t="s">
        <v>45</v>
      </c>
      <c r="T49" s="1">
        <v>0</v>
      </c>
      <c r="U49" s="1">
        <v>0</v>
      </c>
    </row>
    <row r="50" spans="17:21" x14ac:dyDescent="0.3">
      <c r="Q50" s="1" t="str">
        <f t="shared" si="10"/>
        <v>x</v>
      </c>
    </row>
    <row r="51" spans="17:21" x14ac:dyDescent="0.3">
      <c r="Q51" s="1" t="str">
        <f t="shared" si="10"/>
        <v>x</v>
      </c>
    </row>
    <row r="52" spans="17:21" x14ac:dyDescent="0.3">
      <c r="Q52" s="1" t="str">
        <f t="shared" si="10"/>
        <v>x</v>
      </c>
    </row>
    <row r="53" spans="17:21" x14ac:dyDescent="0.3">
      <c r="Q53" s="1" t="str">
        <f>F5</f>
        <v>x</v>
      </c>
    </row>
  </sheetData>
  <sortState xmlns:xlrd2="http://schemas.microsoft.com/office/spreadsheetml/2017/richdata2" ref="W17:X28">
    <sortCondition ref="W17:W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9497-B7A9-4ED9-B1B1-F82D396FC80E}">
  <dimension ref="A1:AH38"/>
  <sheetViews>
    <sheetView workbookViewId="0">
      <selection activeCell="I19" sqref="I19"/>
    </sheetView>
  </sheetViews>
  <sheetFormatPr baseColWidth="10" defaultColWidth="8.88671875" defaultRowHeight="14.4" x14ac:dyDescent="0.3"/>
  <cols>
    <col min="1" max="1" width="3.88671875" style="1" customWidth="1"/>
    <col min="2" max="2" width="14" style="1" customWidth="1"/>
    <col min="3" max="7" width="3.77734375" style="1" customWidth="1"/>
    <col min="8" max="9" width="7.109375" style="1" customWidth="1"/>
    <col min="10" max="10" width="3.88671875" style="1" customWidth="1"/>
    <col min="11" max="11" width="13.88671875" style="1" customWidth="1"/>
    <col min="12" max="16" width="3.77734375" style="1" customWidth="1"/>
    <col min="17" max="18" width="7.33203125" style="1" customWidth="1"/>
    <col min="19" max="19" width="3.88671875" style="1" customWidth="1"/>
    <col min="20" max="20" width="13.6640625" style="1" customWidth="1"/>
    <col min="21" max="25" width="3.77734375" style="1" customWidth="1"/>
    <col min="26" max="27" width="7" style="1" customWidth="1"/>
    <col min="28" max="28" width="3.88671875" style="1" customWidth="1"/>
    <col min="29" max="29" width="13.88671875" style="1" customWidth="1"/>
    <col min="30" max="34" width="3.77734375" style="1" customWidth="1"/>
    <col min="35" max="16384" width="8.88671875" style="1"/>
  </cols>
  <sheetData>
    <row r="1" spans="1:34" x14ac:dyDescent="0.3">
      <c r="B1" s="1" t="s">
        <v>6</v>
      </c>
      <c r="K1" s="1" t="s">
        <v>8</v>
      </c>
      <c r="T1" s="1" t="s">
        <v>9</v>
      </c>
      <c r="AC1" s="1" t="s">
        <v>10</v>
      </c>
    </row>
    <row r="2" spans="1:34" x14ac:dyDescent="0.3">
      <c r="A2" s="2"/>
      <c r="B2" s="2" t="s">
        <v>0</v>
      </c>
      <c r="C2" s="2" t="s">
        <v>5</v>
      </c>
      <c r="D2" s="2" t="s">
        <v>2</v>
      </c>
      <c r="E2" s="2" t="s">
        <v>3</v>
      </c>
      <c r="F2" s="2" t="s">
        <v>4</v>
      </c>
      <c r="G2" s="2" t="s">
        <v>1</v>
      </c>
      <c r="J2" s="2"/>
      <c r="K2" s="2" t="s">
        <v>0</v>
      </c>
      <c r="L2" s="2" t="s">
        <v>5</v>
      </c>
      <c r="M2" s="2" t="s">
        <v>2</v>
      </c>
      <c r="N2" s="2" t="s">
        <v>3</v>
      </c>
      <c r="O2" s="2" t="s">
        <v>4</v>
      </c>
      <c r="P2" s="2" t="s">
        <v>1</v>
      </c>
      <c r="S2" s="2"/>
      <c r="T2" s="2" t="s">
        <v>0</v>
      </c>
      <c r="U2" s="2" t="s">
        <v>5</v>
      </c>
      <c r="V2" s="2" t="s">
        <v>2</v>
      </c>
      <c r="W2" s="2" t="s">
        <v>3</v>
      </c>
      <c r="X2" s="2" t="s">
        <v>4</v>
      </c>
      <c r="Y2" s="2" t="s">
        <v>1</v>
      </c>
      <c r="AB2" s="2"/>
      <c r="AC2" s="2" t="s">
        <v>0</v>
      </c>
      <c r="AD2" s="2" t="s">
        <v>5</v>
      </c>
      <c r="AE2" s="2" t="s">
        <v>2</v>
      </c>
      <c r="AF2" s="2" t="s">
        <v>3</v>
      </c>
      <c r="AG2" s="2" t="s">
        <v>4</v>
      </c>
      <c r="AH2" s="2" t="s">
        <v>1</v>
      </c>
    </row>
    <row r="3" spans="1:34" x14ac:dyDescent="0.3">
      <c r="A3" s="2">
        <f t="shared" ref="A3:A6" si="0">A2+1</f>
        <v>1</v>
      </c>
      <c r="B3" s="2" t="s">
        <v>7</v>
      </c>
      <c r="C3" s="2">
        <v>0</v>
      </c>
      <c r="D3" s="2"/>
      <c r="E3" s="2"/>
      <c r="F3" s="2"/>
      <c r="G3" s="2">
        <f>D3*3+E3</f>
        <v>0</v>
      </c>
      <c r="J3" s="2">
        <f t="shared" ref="J3:J6" si="1">J2+1</f>
        <v>1</v>
      </c>
      <c r="K3" s="2" t="s">
        <v>19</v>
      </c>
      <c r="L3" s="2">
        <v>0</v>
      </c>
      <c r="M3" s="2"/>
      <c r="N3" s="2"/>
      <c r="O3" s="2"/>
      <c r="P3" s="2">
        <f>M3*3+N3</f>
        <v>0</v>
      </c>
      <c r="S3" s="2">
        <f t="shared" ref="S3:S6" si="2">S2+1</f>
        <v>1</v>
      </c>
      <c r="T3" s="2" t="s">
        <v>45</v>
      </c>
      <c r="U3" s="2">
        <v>0</v>
      </c>
      <c r="V3" s="2"/>
      <c r="W3" s="2"/>
      <c r="X3" s="2"/>
      <c r="Y3" s="2">
        <f>V3*3+W3</f>
        <v>0</v>
      </c>
      <c r="AB3" s="2">
        <f t="shared" ref="AB3:AB6" si="3">AB2+1</f>
        <v>1</v>
      </c>
      <c r="AC3" s="2" t="s">
        <v>20</v>
      </c>
      <c r="AD3" s="2">
        <v>0</v>
      </c>
      <c r="AE3" s="2"/>
      <c r="AF3" s="2"/>
      <c r="AG3" s="2"/>
      <c r="AH3" s="2">
        <f>AE3*3+AF3</f>
        <v>0</v>
      </c>
    </row>
    <row r="4" spans="1:34" x14ac:dyDescent="0.3">
      <c r="A4" s="2">
        <f t="shared" si="0"/>
        <v>2</v>
      </c>
      <c r="B4" s="2" t="s">
        <v>45</v>
      </c>
      <c r="C4" s="2">
        <v>0</v>
      </c>
      <c r="D4" s="2"/>
      <c r="E4" s="2"/>
      <c r="F4" s="2"/>
      <c r="G4" s="2">
        <f t="shared" ref="G4:G6" si="4">D4*3+E4</f>
        <v>0</v>
      </c>
      <c r="J4" s="2">
        <f t="shared" si="1"/>
        <v>2</v>
      </c>
      <c r="K4" s="2" t="s">
        <v>45</v>
      </c>
      <c r="L4" s="2">
        <v>0</v>
      </c>
      <c r="M4" s="2"/>
      <c r="N4" s="2"/>
      <c r="O4" s="2"/>
      <c r="P4" s="2">
        <f t="shared" ref="P4:P6" si="5">M4*3+N4</f>
        <v>0</v>
      </c>
      <c r="S4" s="2">
        <f t="shared" si="2"/>
        <v>2</v>
      </c>
      <c r="T4" s="2" t="s">
        <v>45</v>
      </c>
      <c r="U4" s="2">
        <v>0</v>
      </c>
      <c r="V4" s="2"/>
      <c r="W4" s="2"/>
      <c r="X4" s="2"/>
      <c r="Y4" s="2">
        <f t="shared" ref="Y4:Y6" si="6">V4*3+W4</f>
        <v>0</v>
      </c>
      <c r="AB4" s="2">
        <f t="shared" si="3"/>
        <v>2</v>
      </c>
      <c r="AC4" s="2" t="s">
        <v>45</v>
      </c>
      <c r="AD4" s="2">
        <v>0</v>
      </c>
      <c r="AE4" s="2"/>
      <c r="AF4" s="2"/>
      <c r="AG4" s="2"/>
      <c r="AH4" s="2">
        <f t="shared" ref="AH4:AH6" si="7">AE4*3+AF4</f>
        <v>0</v>
      </c>
    </row>
    <row r="5" spans="1:34" x14ac:dyDescent="0.3">
      <c r="A5" s="2">
        <f t="shared" si="0"/>
        <v>3</v>
      </c>
      <c r="B5" s="2" t="s">
        <v>45</v>
      </c>
      <c r="C5" s="2">
        <v>0</v>
      </c>
      <c r="D5" s="2"/>
      <c r="E5" s="2"/>
      <c r="F5" s="2"/>
      <c r="G5" s="2">
        <f t="shared" si="4"/>
        <v>0</v>
      </c>
      <c r="J5" s="2">
        <f t="shared" si="1"/>
        <v>3</v>
      </c>
      <c r="K5" s="2" t="s">
        <v>45</v>
      </c>
      <c r="L5" s="2">
        <v>0</v>
      </c>
      <c r="M5" s="2"/>
      <c r="N5" s="2"/>
      <c r="O5" s="2"/>
      <c r="P5" s="2">
        <f t="shared" si="5"/>
        <v>0</v>
      </c>
      <c r="S5" s="2">
        <f t="shared" si="2"/>
        <v>3</v>
      </c>
      <c r="T5" s="2" t="s">
        <v>45</v>
      </c>
      <c r="U5" s="2">
        <v>0</v>
      </c>
      <c r="V5" s="2"/>
      <c r="W5" s="2"/>
      <c r="X5" s="2"/>
      <c r="Y5" s="2">
        <f t="shared" si="6"/>
        <v>0</v>
      </c>
      <c r="AB5" s="2">
        <f t="shared" si="3"/>
        <v>3</v>
      </c>
      <c r="AC5" s="2" t="s">
        <v>45</v>
      </c>
      <c r="AD5" s="2">
        <v>0</v>
      </c>
      <c r="AE5" s="2"/>
      <c r="AF5" s="2"/>
      <c r="AG5" s="2"/>
      <c r="AH5" s="2">
        <f t="shared" si="7"/>
        <v>0</v>
      </c>
    </row>
    <row r="6" spans="1:34" x14ac:dyDescent="0.3">
      <c r="A6" s="2">
        <f t="shared" si="0"/>
        <v>4</v>
      </c>
      <c r="B6" s="2" t="s">
        <v>45</v>
      </c>
      <c r="C6" s="2">
        <v>0</v>
      </c>
      <c r="D6" s="2"/>
      <c r="E6" s="2"/>
      <c r="F6" s="2"/>
      <c r="G6" s="2">
        <f t="shared" si="4"/>
        <v>0</v>
      </c>
      <c r="J6" s="2">
        <f t="shared" si="1"/>
        <v>4</v>
      </c>
      <c r="K6" s="2" t="s">
        <v>45</v>
      </c>
      <c r="L6" s="2">
        <v>0</v>
      </c>
      <c r="M6" s="2"/>
      <c r="N6" s="2"/>
      <c r="O6" s="2"/>
      <c r="P6" s="2">
        <f t="shared" si="5"/>
        <v>0</v>
      </c>
      <c r="S6" s="2">
        <f t="shared" si="2"/>
        <v>4</v>
      </c>
      <c r="T6" s="2" t="s">
        <v>45</v>
      </c>
      <c r="U6" s="2">
        <v>0</v>
      </c>
      <c r="V6" s="2"/>
      <c r="W6" s="2"/>
      <c r="X6" s="2"/>
      <c r="Y6" s="2">
        <f t="shared" si="6"/>
        <v>0</v>
      </c>
      <c r="AB6" s="2">
        <f t="shared" si="3"/>
        <v>4</v>
      </c>
      <c r="AC6" s="2" t="s">
        <v>45</v>
      </c>
      <c r="AD6" s="2">
        <v>0</v>
      </c>
      <c r="AE6" s="2"/>
      <c r="AF6" s="2"/>
      <c r="AG6" s="2"/>
      <c r="AH6" s="2">
        <f t="shared" si="7"/>
        <v>0</v>
      </c>
    </row>
    <row r="9" spans="1:34" x14ac:dyDescent="0.3">
      <c r="B9" s="1" t="s">
        <v>11</v>
      </c>
      <c r="K9" s="1" t="s">
        <v>12</v>
      </c>
      <c r="T9" s="1" t="s">
        <v>13</v>
      </c>
      <c r="AC9" s="1" t="s">
        <v>14</v>
      </c>
    </row>
    <row r="10" spans="1:34" x14ac:dyDescent="0.3">
      <c r="A10" s="2"/>
      <c r="B10" s="2" t="s">
        <v>0</v>
      </c>
      <c r="C10" s="2" t="s">
        <v>5</v>
      </c>
      <c r="D10" s="2" t="s">
        <v>2</v>
      </c>
      <c r="E10" s="2" t="s">
        <v>3</v>
      </c>
      <c r="F10" s="2" t="s">
        <v>4</v>
      </c>
      <c r="G10" s="2" t="s">
        <v>1</v>
      </c>
      <c r="J10" s="2"/>
      <c r="K10" s="2" t="s">
        <v>0</v>
      </c>
      <c r="L10" s="2" t="s">
        <v>5</v>
      </c>
      <c r="M10" s="2" t="s">
        <v>2</v>
      </c>
      <c r="N10" s="2" t="s">
        <v>3</v>
      </c>
      <c r="O10" s="2" t="s">
        <v>4</v>
      </c>
      <c r="P10" s="2" t="s">
        <v>1</v>
      </c>
      <c r="S10" s="2"/>
      <c r="T10" s="2" t="s">
        <v>0</v>
      </c>
      <c r="U10" s="2" t="s">
        <v>5</v>
      </c>
      <c r="V10" s="2" t="s">
        <v>2</v>
      </c>
      <c r="W10" s="2" t="s">
        <v>3</v>
      </c>
      <c r="X10" s="2" t="s">
        <v>4</v>
      </c>
      <c r="Y10" s="2" t="s">
        <v>1</v>
      </c>
      <c r="AB10" s="2"/>
      <c r="AC10" s="2" t="s">
        <v>0</v>
      </c>
      <c r="AD10" s="2" t="s">
        <v>5</v>
      </c>
      <c r="AE10" s="2" t="s">
        <v>2</v>
      </c>
      <c r="AF10" s="2" t="s">
        <v>3</v>
      </c>
      <c r="AG10" s="2" t="s">
        <v>4</v>
      </c>
      <c r="AH10" s="2" t="s">
        <v>1</v>
      </c>
    </row>
    <row r="11" spans="1:34" x14ac:dyDescent="0.3">
      <c r="A11" s="2">
        <f t="shared" ref="A11:A14" si="8">A10+1</f>
        <v>1</v>
      </c>
      <c r="B11" s="2" t="s">
        <v>45</v>
      </c>
      <c r="C11" s="2">
        <v>0</v>
      </c>
      <c r="D11" s="2"/>
      <c r="E11" s="2"/>
      <c r="F11" s="2"/>
      <c r="G11" s="2">
        <f>D11*3+E11</f>
        <v>0</v>
      </c>
      <c r="J11" s="2">
        <f t="shared" ref="J11:J14" si="9">J10+1</f>
        <v>1</v>
      </c>
      <c r="K11" s="2" t="s">
        <v>45</v>
      </c>
      <c r="L11" s="2">
        <v>0</v>
      </c>
      <c r="M11" s="2"/>
      <c r="N11" s="2"/>
      <c r="O11" s="2"/>
      <c r="P11" s="2">
        <f>M11*3+N11</f>
        <v>0</v>
      </c>
      <c r="S11" s="2">
        <f t="shared" ref="S11:S14" si="10">S10+1</f>
        <v>1</v>
      </c>
      <c r="T11" s="2" t="s">
        <v>45</v>
      </c>
      <c r="U11" s="2">
        <v>0</v>
      </c>
      <c r="V11" s="2"/>
      <c r="W11" s="2"/>
      <c r="X11" s="2"/>
      <c r="Y11" s="2">
        <f>V11*3+W11</f>
        <v>0</v>
      </c>
      <c r="AB11" s="2">
        <f t="shared" ref="AB11:AB14" si="11">AB10+1</f>
        <v>1</v>
      </c>
      <c r="AC11" s="2" t="s">
        <v>45</v>
      </c>
      <c r="AD11" s="2">
        <v>0</v>
      </c>
      <c r="AE11" s="2"/>
      <c r="AF11" s="2"/>
      <c r="AG11" s="2"/>
      <c r="AH11" s="2">
        <f>AE11*3+AF11</f>
        <v>0</v>
      </c>
    </row>
    <row r="12" spans="1:34" x14ac:dyDescent="0.3">
      <c r="A12" s="2">
        <f t="shared" si="8"/>
        <v>2</v>
      </c>
      <c r="B12" s="2" t="s">
        <v>45</v>
      </c>
      <c r="C12" s="2">
        <v>0</v>
      </c>
      <c r="D12" s="2"/>
      <c r="E12" s="2"/>
      <c r="F12" s="2"/>
      <c r="G12" s="2">
        <f t="shared" ref="G12:G14" si="12">D12*3+E12</f>
        <v>0</v>
      </c>
      <c r="J12" s="2">
        <f t="shared" si="9"/>
        <v>2</v>
      </c>
      <c r="K12" s="2" t="s">
        <v>45</v>
      </c>
      <c r="L12" s="2">
        <v>0</v>
      </c>
      <c r="M12" s="2"/>
      <c r="N12" s="2"/>
      <c r="O12" s="2"/>
      <c r="P12" s="2">
        <f t="shared" ref="P12:P14" si="13">M12*3+N12</f>
        <v>0</v>
      </c>
      <c r="S12" s="2">
        <f t="shared" si="10"/>
        <v>2</v>
      </c>
      <c r="T12" s="2" t="s">
        <v>45</v>
      </c>
      <c r="U12" s="2">
        <v>0</v>
      </c>
      <c r="V12" s="2"/>
      <c r="W12" s="2"/>
      <c r="X12" s="2"/>
      <c r="Y12" s="2">
        <f t="shared" ref="Y12:Y14" si="14">V12*3+W12</f>
        <v>0</v>
      </c>
      <c r="AB12" s="2">
        <f t="shared" si="11"/>
        <v>2</v>
      </c>
      <c r="AC12" s="2" t="s">
        <v>45</v>
      </c>
      <c r="AD12" s="2">
        <v>0</v>
      </c>
      <c r="AE12" s="2"/>
      <c r="AF12" s="2"/>
      <c r="AG12" s="2"/>
      <c r="AH12" s="2">
        <f t="shared" ref="AH12:AH14" si="15">AE12*3+AF12</f>
        <v>0</v>
      </c>
    </row>
    <row r="13" spans="1:34" x14ac:dyDescent="0.3">
      <c r="A13" s="2">
        <f t="shared" si="8"/>
        <v>3</v>
      </c>
      <c r="B13" s="2" t="s">
        <v>45</v>
      </c>
      <c r="C13" s="2">
        <v>0</v>
      </c>
      <c r="D13" s="2"/>
      <c r="E13" s="2"/>
      <c r="F13" s="2"/>
      <c r="G13" s="2">
        <f t="shared" si="12"/>
        <v>0</v>
      </c>
      <c r="J13" s="2">
        <f t="shared" si="9"/>
        <v>3</v>
      </c>
      <c r="K13" s="2" t="s">
        <v>45</v>
      </c>
      <c r="L13" s="2">
        <v>0</v>
      </c>
      <c r="M13" s="2"/>
      <c r="N13" s="2"/>
      <c r="O13" s="2"/>
      <c r="P13" s="2">
        <f t="shared" si="13"/>
        <v>0</v>
      </c>
      <c r="S13" s="2">
        <f t="shared" si="10"/>
        <v>3</v>
      </c>
      <c r="T13" s="2" t="s">
        <v>45</v>
      </c>
      <c r="U13" s="2">
        <v>0</v>
      </c>
      <c r="V13" s="2"/>
      <c r="W13" s="2"/>
      <c r="X13" s="2"/>
      <c r="Y13" s="2">
        <f t="shared" si="14"/>
        <v>0</v>
      </c>
      <c r="AB13" s="2">
        <f t="shared" si="11"/>
        <v>3</v>
      </c>
      <c r="AC13" s="2" t="s">
        <v>45</v>
      </c>
      <c r="AD13" s="2">
        <v>0</v>
      </c>
      <c r="AE13" s="2"/>
      <c r="AF13" s="2"/>
      <c r="AG13" s="2"/>
      <c r="AH13" s="2">
        <f t="shared" si="15"/>
        <v>0</v>
      </c>
    </row>
    <row r="14" spans="1:34" x14ac:dyDescent="0.3">
      <c r="A14" s="2">
        <f t="shared" si="8"/>
        <v>4</v>
      </c>
      <c r="B14" s="2" t="s">
        <v>45</v>
      </c>
      <c r="C14" s="2">
        <v>0</v>
      </c>
      <c r="D14" s="2"/>
      <c r="E14" s="2"/>
      <c r="F14" s="2"/>
      <c r="G14" s="2">
        <f t="shared" si="12"/>
        <v>0</v>
      </c>
      <c r="J14" s="2">
        <f t="shared" si="9"/>
        <v>4</v>
      </c>
      <c r="K14" s="2" t="s">
        <v>45</v>
      </c>
      <c r="L14" s="2">
        <v>0</v>
      </c>
      <c r="M14" s="2"/>
      <c r="N14" s="2"/>
      <c r="O14" s="2"/>
      <c r="P14" s="2">
        <f t="shared" si="13"/>
        <v>0</v>
      </c>
      <c r="S14" s="2">
        <f t="shared" si="10"/>
        <v>4</v>
      </c>
      <c r="T14" s="2" t="s">
        <v>45</v>
      </c>
      <c r="U14" s="2">
        <v>0</v>
      </c>
      <c r="V14" s="2"/>
      <c r="W14" s="2"/>
      <c r="X14" s="2"/>
      <c r="Y14" s="2">
        <f t="shared" si="14"/>
        <v>0</v>
      </c>
      <c r="AB14" s="2">
        <f t="shared" si="11"/>
        <v>4</v>
      </c>
      <c r="AC14" s="2" t="s">
        <v>45</v>
      </c>
      <c r="AD14" s="2">
        <v>0</v>
      </c>
      <c r="AE14" s="2"/>
      <c r="AF14" s="2"/>
      <c r="AG14" s="2"/>
      <c r="AH14" s="2">
        <f t="shared" si="15"/>
        <v>0</v>
      </c>
    </row>
    <row r="18" spans="1:34" x14ac:dyDescent="0.3">
      <c r="B18" s="1" t="s">
        <v>15</v>
      </c>
      <c r="K18" s="1" t="s">
        <v>16</v>
      </c>
      <c r="T18" s="1" t="s">
        <v>17</v>
      </c>
      <c r="AC18" s="1" t="s">
        <v>18</v>
      </c>
    </row>
    <row r="19" spans="1:34" x14ac:dyDescent="0.3">
      <c r="A19" s="2"/>
      <c r="B19" s="2" t="s">
        <v>0</v>
      </c>
      <c r="C19" s="2" t="s">
        <v>5</v>
      </c>
      <c r="D19" s="2" t="s">
        <v>2</v>
      </c>
      <c r="E19" s="2" t="s">
        <v>3</v>
      </c>
      <c r="F19" s="2" t="s">
        <v>4</v>
      </c>
      <c r="G19" s="2" t="s">
        <v>1</v>
      </c>
      <c r="J19" s="2"/>
      <c r="K19" s="2" t="s">
        <v>0</v>
      </c>
      <c r="L19" s="2" t="s">
        <v>5</v>
      </c>
      <c r="M19" s="2" t="s">
        <v>2</v>
      </c>
      <c r="N19" s="2" t="s">
        <v>3</v>
      </c>
      <c r="O19" s="2" t="s">
        <v>4</v>
      </c>
      <c r="P19" s="2" t="s">
        <v>1</v>
      </c>
      <c r="S19" s="2"/>
      <c r="T19" s="2" t="s">
        <v>0</v>
      </c>
      <c r="U19" s="2" t="s">
        <v>5</v>
      </c>
      <c r="V19" s="2" t="s">
        <v>2</v>
      </c>
      <c r="W19" s="2" t="s">
        <v>3</v>
      </c>
      <c r="X19" s="2" t="s">
        <v>4</v>
      </c>
      <c r="Y19" s="2" t="s">
        <v>1</v>
      </c>
      <c r="AB19" s="2"/>
      <c r="AC19" s="2" t="s">
        <v>0</v>
      </c>
      <c r="AD19" s="2" t="s">
        <v>5</v>
      </c>
      <c r="AE19" s="2" t="s">
        <v>2</v>
      </c>
      <c r="AF19" s="2" t="s">
        <v>3</v>
      </c>
      <c r="AG19" s="2" t="s">
        <v>4</v>
      </c>
      <c r="AH19" s="2" t="s">
        <v>1</v>
      </c>
    </row>
    <row r="20" spans="1:34" x14ac:dyDescent="0.3">
      <c r="A20" s="2">
        <f t="shared" ref="A20:A23" si="16">A19+1</f>
        <v>1</v>
      </c>
      <c r="B20" s="2" t="s">
        <v>45</v>
      </c>
      <c r="C20" s="2">
        <v>0</v>
      </c>
      <c r="D20" s="2"/>
      <c r="E20" s="2"/>
      <c r="F20" s="2"/>
      <c r="G20" s="2">
        <f>D20*3+E20</f>
        <v>0</v>
      </c>
      <c r="J20" s="2">
        <f t="shared" ref="J20:J23" si="17">J19+1</f>
        <v>1</v>
      </c>
      <c r="K20" s="2" t="s">
        <v>45</v>
      </c>
      <c r="L20" s="2">
        <v>0</v>
      </c>
      <c r="M20" s="2"/>
      <c r="N20" s="2"/>
      <c r="O20" s="2"/>
      <c r="P20" s="2">
        <f>M20*3+N20</f>
        <v>0</v>
      </c>
      <c r="S20" s="2">
        <f t="shared" ref="S20:S23" si="18">S19+1</f>
        <v>1</v>
      </c>
      <c r="T20" s="2" t="s">
        <v>45</v>
      </c>
      <c r="U20" s="2">
        <v>0</v>
      </c>
      <c r="V20" s="2"/>
      <c r="W20" s="2"/>
      <c r="X20" s="2"/>
      <c r="Y20" s="2">
        <f>V20*3+W20</f>
        <v>0</v>
      </c>
      <c r="AB20" s="2">
        <f t="shared" ref="AB20:AB23" si="19">AB19+1</f>
        <v>1</v>
      </c>
      <c r="AC20" s="2" t="s">
        <v>45</v>
      </c>
      <c r="AD20" s="2">
        <v>0</v>
      </c>
      <c r="AE20" s="2"/>
      <c r="AF20" s="2"/>
      <c r="AG20" s="2"/>
      <c r="AH20" s="2">
        <f>AE20*3+AF20</f>
        <v>0</v>
      </c>
    </row>
    <row r="21" spans="1:34" x14ac:dyDescent="0.3">
      <c r="A21" s="2">
        <f t="shared" si="16"/>
        <v>2</v>
      </c>
      <c r="B21" s="2" t="s">
        <v>45</v>
      </c>
      <c r="C21" s="2">
        <v>0</v>
      </c>
      <c r="D21" s="2"/>
      <c r="E21" s="2"/>
      <c r="F21" s="2"/>
      <c r="G21" s="2">
        <f t="shared" ref="G21:G23" si="20">D21*3+E21</f>
        <v>0</v>
      </c>
      <c r="J21" s="2">
        <f t="shared" si="17"/>
        <v>2</v>
      </c>
      <c r="K21" s="2" t="s">
        <v>45</v>
      </c>
      <c r="L21" s="2">
        <v>0</v>
      </c>
      <c r="M21" s="2"/>
      <c r="N21" s="2"/>
      <c r="O21" s="2"/>
      <c r="P21" s="2">
        <f t="shared" ref="P21:P23" si="21">M21*3+N21</f>
        <v>0</v>
      </c>
      <c r="S21" s="2">
        <f t="shared" si="18"/>
        <v>2</v>
      </c>
      <c r="T21" s="2" t="s">
        <v>45</v>
      </c>
      <c r="U21" s="2">
        <v>0</v>
      </c>
      <c r="V21" s="2"/>
      <c r="W21" s="2"/>
      <c r="X21" s="2"/>
      <c r="Y21" s="2">
        <f t="shared" ref="Y21:Y23" si="22">V21*3+W21</f>
        <v>0</v>
      </c>
      <c r="AB21" s="2">
        <f t="shared" si="19"/>
        <v>2</v>
      </c>
      <c r="AC21" s="2" t="s">
        <v>45</v>
      </c>
      <c r="AD21" s="2">
        <v>0</v>
      </c>
      <c r="AE21" s="2"/>
      <c r="AF21" s="2"/>
      <c r="AG21" s="2"/>
      <c r="AH21" s="2">
        <f t="shared" ref="AH21:AH23" si="23">AE21*3+AF21</f>
        <v>0</v>
      </c>
    </row>
    <row r="22" spans="1:34" x14ac:dyDescent="0.3">
      <c r="A22" s="2">
        <f t="shared" si="16"/>
        <v>3</v>
      </c>
      <c r="B22" s="2" t="s">
        <v>45</v>
      </c>
      <c r="C22" s="2">
        <v>0</v>
      </c>
      <c r="D22" s="2"/>
      <c r="E22" s="2"/>
      <c r="F22" s="2"/>
      <c r="G22" s="2">
        <f t="shared" si="20"/>
        <v>0</v>
      </c>
      <c r="J22" s="2">
        <f t="shared" si="17"/>
        <v>3</v>
      </c>
      <c r="K22" s="2" t="s">
        <v>45</v>
      </c>
      <c r="L22" s="2">
        <v>0</v>
      </c>
      <c r="M22" s="2"/>
      <c r="N22" s="2"/>
      <c r="O22" s="2"/>
      <c r="P22" s="2">
        <f t="shared" si="21"/>
        <v>0</v>
      </c>
      <c r="S22" s="2">
        <f t="shared" si="18"/>
        <v>3</v>
      </c>
      <c r="T22" s="2" t="s">
        <v>45</v>
      </c>
      <c r="U22" s="2">
        <v>0</v>
      </c>
      <c r="V22" s="2"/>
      <c r="W22" s="2"/>
      <c r="X22" s="2"/>
      <c r="Y22" s="2">
        <f t="shared" si="22"/>
        <v>0</v>
      </c>
      <c r="AB22" s="2">
        <f t="shared" si="19"/>
        <v>3</v>
      </c>
      <c r="AC22" s="2" t="s">
        <v>45</v>
      </c>
      <c r="AD22" s="2">
        <v>0</v>
      </c>
      <c r="AE22" s="2"/>
      <c r="AF22" s="2"/>
      <c r="AG22" s="2"/>
      <c r="AH22" s="2">
        <f t="shared" si="23"/>
        <v>0</v>
      </c>
    </row>
    <row r="23" spans="1:34" x14ac:dyDescent="0.3">
      <c r="A23" s="2">
        <f t="shared" si="16"/>
        <v>4</v>
      </c>
      <c r="B23" s="2" t="s">
        <v>45</v>
      </c>
      <c r="C23" s="2">
        <v>0</v>
      </c>
      <c r="D23" s="2"/>
      <c r="E23" s="2"/>
      <c r="F23" s="2"/>
      <c r="G23" s="2">
        <f t="shared" si="20"/>
        <v>0</v>
      </c>
      <c r="J23" s="2">
        <f t="shared" si="17"/>
        <v>4</v>
      </c>
      <c r="K23" s="2" t="s">
        <v>45</v>
      </c>
      <c r="L23" s="2">
        <v>0</v>
      </c>
      <c r="M23" s="2"/>
      <c r="N23" s="2"/>
      <c r="O23" s="2"/>
      <c r="P23" s="2">
        <f t="shared" si="21"/>
        <v>0</v>
      </c>
      <c r="S23" s="2">
        <f t="shared" si="18"/>
        <v>4</v>
      </c>
      <c r="T23" s="2" t="s">
        <v>45</v>
      </c>
      <c r="U23" s="2">
        <v>0</v>
      </c>
      <c r="V23" s="2"/>
      <c r="W23" s="2"/>
      <c r="X23" s="2"/>
      <c r="Y23" s="2">
        <f t="shared" si="22"/>
        <v>0</v>
      </c>
      <c r="AB23" s="2">
        <f t="shared" si="19"/>
        <v>4</v>
      </c>
      <c r="AC23" s="2" t="s">
        <v>45</v>
      </c>
      <c r="AD23" s="2">
        <v>0</v>
      </c>
      <c r="AE23" s="2"/>
      <c r="AF23" s="2"/>
      <c r="AG23" s="2"/>
      <c r="AH23" s="2">
        <f t="shared" si="23"/>
        <v>0</v>
      </c>
    </row>
    <row r="27" spans="1:34" x14ac:dyDescent="0.3">
      <c r="B27" s="1" t="str">
        <f>B$5</f>
        <v>x</v>
      </c>
      <c r="C27" s="1">
        <f>G$5</f>
        <v>0</v>
      </c>
      <c r="D27" s="3" t="str">
        <f>B$1</f>
        <v>Group A</v>
      </c>
      <c r="F27" s="1" t="s">
        <v>259</v>
      </c>
    </row>
    <row r="28" spans="1:34" x14ac:dyDescent="0.3">
      <c r="B28" s="1" t="str">
        <f>K$5</f>
        <v>x</v>
      </c>
      <c r="C28" s="1">
        <f>P$5</f>
        <v>0</v>
      </c>
      <c r="D28" s="3" t="str">
        <f>K$1</f>
        <v>Group B</v>
      </c>
      <c r="F28" s="1" t="s">
        <v>257</v>
      </c>
    </row>
    <row r="29" spans="1:34" x14ac:dyDescent="0.3">
      <c r="B29" s="1" t="str">
        <f>T$5</f>
        <v>x</v>
      </c>
      <c r="C29" s="1">
        <f>Y$5</f>
        <v>0</v>
      </c>
      <c r="D29" s="3" t="str">
        <f>T$1</f>
        <v>Group C</v>
      </c>
      <c r="F29" s="1" t="s">
        <v>259</v>
      </c>
    </row>
    <row r="30" spans="1:34" x14ac:dyDescent="0.3">
      <c r="B30" s="1" t="str">
        <f>AC$5</f>
        <v>x</v>
      </c>
      <c r="C30" s="1">
        <f>AH$5</f>
        <v>0</v>
      </c>
      <c r="D30" s="3" t="str">
        <f>AC$1</f>
        <v>Group D</v>
      </c>
      <c r="F30" s="1" t="s">
        <v>258</v>
      </c>
    </row>
    <row r="31" spans="1:34" x14ac:dyDescent="0.3">
      <c r="B31" s="1" t="str">
        <f>B$13</f>
        <v>x</v>
      </c>
      <c r="C31" s="1">
        <f>G$13</f>
        <v>0</v>
      </c>
      <c r="D31" s="3" t="str">
        <f>B$9</f>
        <v>Group E</v>
      </c>
      <c r="F31" s="1" t="s">
        <v>259</v>
      </c>
    </row>
    <row r="32" spans="1:34" x14ac:dyDescent="0.3">
      <c r="B32" s="1" t="str">
        <f>K$13</f>
        <v>x</v>
      </c>
      <c r="C32" s="1">
        <f>P$13</f>
        <v>0</v>
      </c>
      <c r="D32" s="3" t="str">
        <f>K$9</f>
        <v>Group F</v>
      </c>
      <c r="F32" s="1" t="s">
        <v>259</v>
      </c>
    </row>
    <row r="33" spans="2:6" x14ac:dyDescent="0.3">
      <c r="B33" s="1" t="str">
        <f>T$13</f>
        <v>x</v>
      </c>
      <c r="C33" s="1">
        <f>Y$13</f>
        <v>0</v>
      </c>
      <c r="D33" s="3" t="str">
        <f>T$9</f>
        <v>Group G</v>
      </c>
      <c r="F33" s="1" t="s">
        <v>258</v>
      </c>
    </row>
    <row r="34" spans="2:6" x14ac:dyDescent="0.3">
      <c r="B34" s="1" t="str">
        <f>AC$13</f>
        <v>x</v>
      </c>
      <c r="C34" s="1">
        <f>AH$13</f>
        <v>0</v>
      </c>
      <c r="D34" s="3" t="str">
        <f>AC$9</f>
        <v>Group H</v>
      </c>
      <c r="F34" s="5" t="s">
        <v>258</v>
      </c>
    </row>
    <row r="35" spans="2:6" x14ac:dyDescent="0.3">
      <c r="B35" s="9" t="str">
        <f>B$22</f>
        <v>x</v>
      </c>
      <c r="C35" s="9">
        <f>G$22</f>
        <v>0</v>
      </c>
      <c r="D35" s="12" t="str">
        <f>B$18</f>
        <v>Group I</v>
      </c>
      <c r="E35" s="9"/>
      <c r="F35" s="1" t="s">
        <v>259</v>
      </c>
    </row>
    <row r="36" spans="2:6" x14ac:dyDescent="0.3">
      <c r="B36" s="1" t="str">
        <f>K$22</f>
        <v>x</v>
      </c>
      <c r="C36" s="1">
        <f>P$22</f>
        <v>0</v>
      </c>
      <c r="D36" s="3" t="str">
        <f>K$18</f>
        <v>Group J</v>
      </c>
      <c r="F36" s="1" t="s">
        <v>258</v>
      </c>
    </row>
    <row r="37" spans="2:6" x14ac:dyDescent="0.3">
      <c r="B37" s="1" t="str">
        <f>T$22</f>
        <v>x</v>
      </c>
      <c r="C37" s="1">
        <f>Y$22</f>
        <v>0</v>
      </c>
      <c r="D37" s="3" t="str">
        <f>T$18</f>
        <v>Group K</v>
      </c>
      <c r="F37" s="1" t="s">
        <v>258</v>
      </c>
    </row>
    <row r="38" spans="2:6" x14ac:dyDescent="0.3">
      <c r="B38" s="1" t="str">
        <f>AC$22</f>
        <v>x</v>
      </c>
      <c r="C38" s="1">
        <f>AH$22</f>
        <v>0</v>
      </c>
      <c r="D38" s="3" t="str">
        <f>AC$18</f>
        <v>Group L</v>
      </c>
      <c r="F38" s="1" t="s">
        <v>256</v>
      </c>
    </row>
  </sheetData>
  <sortState xmlns:xlrd2="http://schemas.microsoft.com/office/spreadsheetml/2017/richdata2" ref="I27:K38">
    <sortCondition ref="I27:I3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5AF4-9EF7-4420-BDE9-ACDC29ED1A30}">
  <dimension ref="A1:K49"/>
  <sheetViews>
    <sheetView workbookViewId="0">
      <selection activeCell="D11" sqref="D11"/>
    </sheetView>
  </sheetViews>
  <sheetFormatPr baseColWidth="10" defaultColWidth="8.88671875" defaultRowHeight="14.4" x14ac:dyDescent="0.3"/>
  <cols>
    <col min="1" max="10" width="13.5546875" style="6" customWidth="1"/>
    <col min="11" max="11" width="8.88671875" style="11"/>
    <col min="12" max="16384" width="8.88671875" style="6"/>
  </cols>
  <sheetData>
    <row r="1" spans="1:11" x14ac:dyDescent="0.3">
      <c r="A1" s="6" t="s">
        <v>23</v>
      </c>
      <c r="J1" s="6" t="s">
        <v>35</v>
      </c>
    </row>
    <row r="2" spans="1:11" x14ac:dyDescent="0.3">
      <c r="A2" s="6" t="s">
        <v>241</v>
      </c>
      <c r="J2" s="6" t="s">
        <v>36</v>
      </c>
    </row>
    <row r="3" spans="1:11" x14ac:dyDescent="0.3">
      <c r="B3" s="6" t="s">
        <v>45</v>
      </c>
      <c r="I3" s="6" t="s">
        <v>45</v>
      </c>
      <c r="K3" s="6"/>
    </row>
    <row r="4" spans="1:11" x14ac:dyDescent="0.3">
      <c r="A4" s="6" t="s">
        <v>28</v>
      </c>
      <c r="B4" s="6" t="s">
        <v>45</v>
      </c>
      <c r="I4" s="6" t="s">
        <v>45</v>
      </c>
      <c r="J4" s="6" t="s">
        <v>37</v>
      </c>
      <c r="K4" s="6"/>
    </row>
    <row r="5" spans="1:11" x14ac:dyDescent="0.3">
      <c r="A5" s="6" t="s">
        <v>242</v>
      </c>
      <c r="E5" s="24" t="s">
        <v>47</v>
      </c>
      <c r="F5" s="24"/>
      <c r="J5" s="6" t="s">
        <v>38</v>
      </c>
      <c r="K5" s="6"/>
    </row>
    <row r="6" spans="1:11" x14ac:dyDescent="0.3">
      <c r="E6" s="6" t="s">
        <v>45</v>
      </c>
      <c r="F6" s="6" t="s">
        <v>45</v>
      </c>
      <c r="K6" s="6"/>
    </row>
    <row r="7" spans="1:11" x14ac:dyDescent="0.3">
      <c r="C7" s="6" t="s">
        <v>45</v>
      </c>
      <c r="E7" s="24" t="s">
        <v>45</v>
      </c>
      <c r="F7" s="24"/>
      <c r="H7" s="6" t="s">
        <v>45</v>
      </c>
      <c r="K7" s="6"/>
    </row>
    <row r="8" spans="1:11" x14ac:dyDescent="0.3">
      <c r="A8" s="6" t="s">
        <v>21</v>
      </c>
      <c r="C8" s="6" t="s">
        <v>45</v>
      </c>
      <c r="H8" s="6" t="s">
        <v>45</v>
      </c>
      <c r="J8" s="6" t="s">
        <v>33</v>
      </c>
      <c r="K8" s="6"/>
    </row>
    <row r="9" spans="1:11" x14ac:dyDescent="0.3">
      <c r="A9" s="6" t="s">
        <v>22</v>
      </c>
      <c r="J9" s="6" t="s">
        <v>245</v>
      </c>
      <c r="K9" s="6"/>
    </row>
    <row r="10" spans="1:11" x14ac:dyDescent="0.3">
      <c r="B10" s="6" t="s">
        <v>45</v>
      </c>
      <c r="I10" s="6" t="s">
        <v>45</v>
      </c>
      <c r="K10" s="6"/>
    </row>
    <row r="11" spans="1:11" x14ac:dyDescent="0.3">
      <c r="A11" s="6" t="s">
        <v>24</v>
      </c>
      <c r="B11" s="6" t="s">
        <v>45</v>
      </c>
      <c r="I11" s="6" t="s">
        <v>45</v>
      </c>
      <c r="J11" s="6" t="s">
        <v>34</v>
      </c>
    </row>
    <row r="12" spans="1:11" x14ac:dyDescent="0.3">
      <c r="A12" s="6" t="s">
        <v>25</v>
      </c>
      <c r="J12" s="6" t="s">
        <v>246</v>
      </c>
      <c r="K12" s="6"/>
    </row>
    <row r="13" spans="1:11" x14ac:dyDescent="0.3">
      <c r="D13" s="6" t="s">
        <v>45</v>
      </c>
      <c r="G13" s="6" t="s">
        <v>45</v>
      </c>
      <c r="K13" s="6"/>
    </row>
    <row r="14" spans="1:11" x14ac:dyDescent="0.3">
      <c r="D14" s="6" t="s">
        <v>45</v>
      </c>
      <c r="G14" s="6" t="s">
        <v>45</v>
      </c>
    </row>
    <row r="15" spans="1:11" x14ac:dyDescent="0.3">
      <c r="A15" s="6" t="s">
        <v>26</v>
      </c>
      <c r="J15" s="6" t="s">
        <v>40</v>
      </c>
      <c r="K15" s="6"/>
    </row>
    <row r="16" spans="1:11" x14ac:dyDescent="0.3">
      <c r="A16" s="6" t="s">
        <v>27</v>
      </c>
      <c r="B16" s="6" t="s">
        <v>45</v>
      </c>
      <c r="I16" s="6" t="s">
        <v>45</v>
      </c>
      <c r="J16" s="6" t="s">
        <v>41</v>
      </c>
      <c r="K16" s="6"/>
    </row>
    <row r="17" spans="1:11" x14ac:dyDescent="0.3">
      <c r="B17" s="6" t="s">
        <v>45</v>
      </c>
      <c r="I17" s="6" t="s">
        <v>45</v>
      </c>
    </row>
    <row r="18" spans="1:11" x14ac:dyDescent="0.3">
      <c r="A18" s="6" t="s">
        <v>29</v>
      </c>
      <c r="E18" s="24" t="s">
        <v>46</v>
      </c>
      <c r="F18" s="24"/>
      <c r="J18" s="6" t="s">
        <v>43</v>
      </c>
      <c r="K18" s="6"/>
    </row>
    <row r="19" spans="1:11" x14ac:dyDescent="0.3">
      <c r="A19" s="6" t="s">
        <v>30</v>
      </c>
      <c r="C19" s="6" t="s">
        <v>45</v>
      </c>
      <c r="E19" s="6" t="s">
        <v>45</v>
      </c>
      <c r="F19" s="6" t="s">
        <v>45</v>
      </c>
      <c r="H19" s="6" t="s">
        <v>45</v>
      </c>
      <c r="J19" s="6" t="s">
        <v>44</v>
      </c>
      <c r="K19" s="6"/>
    </row>
    <row r="20" spans="1:11" x14ac:dyDescent="0.3">
      <c r="C20" s="6" t="s">
        <v>45</v>
      </c>
      <c r="E20" s="24" t="s">
        <v>45</v>
      </c>
      <c r="F20" s="24"/>
      <c r="H20" s="6" t="s">
        <v>45</v>
      </c>
    </row>
    <row r="21" spans="1:11" x14ac:dyDescent="0.3">
      <c r="K21" s="6"/>
    </row>
    <row r="22" spans="1:11" x14ac:dyDescent="0.3">
      <c r="A22" s="6" t="s">
        <v>31</v>
      </c>
      <c r="J22" s="6" t="s">
        <v>39</v>
      </c>
      <c r="K22" s="6"/>
    </row>
    <row r="23" spans="1:11" x14ac:dyDescent="0.3">
      <c r="A23" s="6" t="s">
        <v>243</v>
      </c>
      <c r="B23" s="6" t="s">
        <v>45</v>
      </c>
      <c r="I23" s="6" t="s">
        <v>45</v>
      </c>
      <c r="J23" s="6" t="s">
        <v>247</v>
      </c>
    </row>
    <row r="24" spans="1:11" x14ac:dyDescent="0.3">
      <c r="B24" s="6" t="s">
        <v>45</v>
      </c>
      <c r="I24" s="6" t="s">
        <v>45</v>
      </c>
      <c r="K24" s="6"/>
    </row>
    <row r="25" spans="1:11" x14ac:dyDescent="0.3">
      <c r="A25" s="6" t="s">
        <v>32</v>
      </c>
      <c r="J25" s="6" t="s">
        <v>42</v>
      </c>
      <c r="K25" s="6"/>
    </row>
    <row r="26" spans="1:11" x14ac:dyDescent="0.3">
      <c r="A26" s="6" t="s">
        <v>244</v>
      </c>
      <c r="J26" s="6" t="s">
        <v>248</v>
      </c>
    </row>
    <row r="27" spans="1:11" x14ac:dyDescent="0.3">
      <c r="K27" s="6"/>
    </row>
    <row r="28" spans="1:11" x14ac:dyDescent="0.3">
      <c r="K28" s="6"/>
    </row>
    <row r="30" spans="1:11" x14ac:dyDescent="0.3">
      <c r="K30" s="6"/>
    </row>
    <row r="31" spans="1:11" x14ac:dyDescent="0.3">
      <c r="K31" s="6"/>
    </row>
    <row r="33" spans="11:11" x14ac:dyDescent="0.3">
      <c r="K33" s="6"/>
    </row>
    <row r="34" spans="11:11" x14ac:dyDescent="0.3">
      <c r="K34" s="6"/>
    </row>
    <row r="36" spans="11:11" x14ac:dyDescent="0.3">
      <c r="K36" s="6"/>
    </row>
    <row r="37" spans="11:11" x14ac:dyDescent="0.3">
      <c r="K37" s="6"/>
    </row>
    <row r="39" spans="11:11" x14ac:dyDescent="0.3">
      <c r="K39" s="6"/>
    </row>
    <row r="40" spans="11:11" x14ac:dyDescent="0.3">
      <c r="K40" s="6"/>
    </row>
    <row r="42" spans="11:11" x14ac:dyDescent="0.3">
      <c r="K42" s="6"/>
    </row>
    <row r="43" spans="11:11" x14ac:dyDescent="0.3">
      <c r="K43" s="6"/>
    </row>
    <row r="45" spans="11:11" x14ac:dyDescent="0.3">
      <c r="K45" s="6"/>
    </row>
    <row r="46" spans="11:11" x14ac:dyDescent="0.3">
      <c r="K46" s="6"/>
    </row>
    <row r="48" spans="11:11" x14ac:dyDescent="0.3">
      <c r="K48" s="6"/>
    </row>
    <row r="49" spans="11:11" x14ac:dyDescent="0.3">
      <c r="K49" s="6"/>
    </row>
  </sheetData>
  <mergeCells count="4">
    <mergeCell ref="E5:F5"/>
    <mergeCell ref="E7:F7"/>
    <mergeCell ref="E18:F18"/>
    <mergeCell ref="E20:F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B661-E06C-4ACD-B8BF-9620B793C40E}">
  <dimension ref="A1:AA53"/>
  <sheetViews>
    <sheetView topLeftCell="F1" workbookViewId="0">
      <selection activeCell="V8" sqref="V8"/>
    </sheetView>
  </sheetViews>
  <sheetFormatPr baseColWidth="10" defaultColWidth="8.88671875" defaultRowHeight="14.4" x14ac:dyDescent="0.3"/>
  <cols>
    <col min="1" max="6" width="13.6640625" style="1" customWidth="1"/>
    <col min="7" max="7" width="12.77734375" style="1" customWidth="1"/>
    <col min="8" max="8" width="3.21875" style="17" customWidth="1"/>
    <col min="9" max="9" width="14.109375" style="17" customWidth="1"/>
    <col min="10" max="14" width="3.88671875" style="17" customWidth="1"/>
    <col min="15" max="15" width="8.88671875" style="17"/>
    <col min="16" max="16" width="8.88671875" style="1"/>
    <col min="17" max="17" width="14.88671875" style="1" customWidth="1"/>
    <col min="18" max="18" width="8.88671875" style="1"/>
    <col min="19" max="19" width="13.77734375" style="1" customWidth="1"/>
    <col min="20" max="21" width="7.5546875" style="1" customWidth="1"/>
    <col min="22" max="22" width="19.6640625" style="1" customWidth="1"/>
    <col min="23" max="23" width="8.88671875" style="1"/>
    <col min="24" max="27" width="13.77734375" style="17" customWidth="1"/>
    <col min="28" max="28" width="19.109375" style="1" customWidth="1"/>
    <col min="29" max="16384" width="8.88671875" style="1"/>
  </cols>
  <sheetData>
    <row r="1" spans="1:27" x14ac:dyDescent="0.3">
      <c r="A1" s="1" t="s">
        <v>48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Q1" s="20" t="str">
        <f>A13</f>
        <v>Jamaica</v>
      </c>
      <c r="S1" s="5"/>
      <c r="T1" s="5" t="s">
        <v>251</v>
      </c>
      <c r="U1" s="5" t="s">
        <v>249</v>
      </c>
      <c r="X1" s="17">
        <v>1</v>
      </c>
      <c r="Y1" s="17">
        <v>2</v>
      </c>
      <c r="Z1" s="17">
        <v>3</v>
      </c>
      <c r="AA1" s="17">
        <v>4</v>
      </c>
    </row>
    <row r="2" spans="1:27" x14ac:dyDescent="0.3">
      <c r="A2" s="1" t="s">
        <v>49</v>
      </c>
      <c r="B2" s="1">
        <v>6</v>
      </c>
      <c r="C2" s="1">
        <v>16</v>
      </c>
      <c r="D2" s="1">
        <v>9</v>
      </c>
      <c r="E2" s="1">
        <v>8</v>
      </c>
      <c r="F2" s="1">
        <v>1</v>
      </c>
      <c r="Q2" s="20" t="str">
        <f>A14</f>
        <v>Suriname</v>
      </c>
      <c r="S2" s="1" t="s">
        <v>7</v>
      </c>
      <c r="T2" s="1">
        <v>3697</v>
      </c>
      <c r="U2" s="1">
        <v>1754</v>
      </c>
      <c r="X2" s="17" t="s">
        <v>7</v>
      </c>
      <c r="Y2" s="17" t="s">
        <v>104</v>
      </c>
      <c r="Z2" s="17" t="s">
        <v>45</v>
      </c>
      <c r="AA2" s="17" t="s">
        <v>45</v>
      </c>
    </row>
    <row r="3" spans="1:27" x14ac:dyDescent="0.3">
      <c r="A3" s="4"/>
      <c r="B3" s="1">
        <v>1</v>
      </c>
      <c r="D3" s="1">
        <v>1</v>
      </c>
      <c r="E3" s="1">
        <v>1</v>
      </c>
      <c r="F3" s="1">
        <v>1</v>
      </c>
      <c r="Q3" s="20" t="str">
        <f>B12</f>
        <v>Bolivia</v>
      </c>
      <c r="S3" s="1" t="s">
        <v>20</v>
      </c>
      <c r="T3" s="1">
        <v>3488</v>
      </c>
      <c r="U3" s="1">
        <v>1690</v>
      </c>
      <c r="X3" s="17" t="s">
        <v>19</v>
      </c>
      <c r="Y3" s="17" t="s">
        <v>151</v>
      </c>
      <c r="Z3" s="17" t="s">
        <v>45</v>
      </c>
      <c r="AA3" s="17" t="s">
        <v>45</v>
      </c>
    </row>
    <row r="4" spans="1:27" x14ac:dyDescent="0.3">
      <c r="I4" s="17" t="s">
        <v>6</v>
      </c>
      <c r="Q4" s="1" t="str">
        <f>D15</f>
        <v>DR Congo</v>
      </c>
      <c r="S4" s="1" t="s">
        <v>19</v>
      </c>
      <c r="T4" s="1">
        <v>3335</v>
      </c>
      <c r="U4" s="1">
        <v>1571</v>
      </c>
      <c r="X4" s="17" t="s">
        <v>20</v>
      </c>
      <c r="Y4" s="17" t="s">
        <v>45</v>
      </c>
      <c r="Z4" s="17" t="s">
        <v>45</v>
      </c>
      <c r="AA4" s="17" t="s">
        <v>45</v>
      </c>
    </row>
    <row r="5" spans="1:27" x14ac:dyDescent="0.3">
      <c r="A5" s="1" t="s">
        <v>7</v>
      </c>
      <c r="B5" s="1" t="s">
        <v>87</v>
      </c>
      <c r="C5" s="1" t="s">
        <v>98</v>
      </c>
      <c r="D5" s="1" t="s">
        <v>151</v>
      </c>
      <c r="E5" s="1" t="s">
        <v>215</v>
      </c>
      <c r="F5" s="1" t="s">
        <v>224</v>
      </c>
      <c r="H5" s="18"/>
      <c r="I5" s="18" t="s">
        <v>0</v>
      </c>
      <c r="J5" s="18" t="s">
        <v>5</v>
      </c>
      <c r="K5" s="18" t="s">
        <v>2</v>
      </c>
      <c r="L5" s="18" t="s">
        <v>3</v>
      </c>
      <c r="M5" s="18" t="s">
        <v>4</v>
      </c>
      <c r="N5" s="18" t="s">
        <v>1</v>
      </c>
      <c r="Q5" s="1" t="str">
        <f>E14</f>
        <v>Iraq</v>
      </c>
      <c r="Y5" s="17" t="s">
        <v>45</v>
      </c>
      <c r="Z5" s="17" t="s">
        <v>45</v>
      </c>
      <c r="AA5" s="17" t="s">
        <v>45</v>
      </c>
    </row>
    <row r="6" spans="1:27" x14ac:dyDescent="0.3">
      <c r="A6" s="1" t="s">
        <v>20</v>
      </c>
      <c r="B6" s="1" t="s">
        <v>91</v>
      </c>
      <c r="C6" s="1" t="s">
        <v>97</v>
      </c>
      <c r="D6" s="1" t="s">
        <v>152</v>
      </c>
      <c r="E6" s="1" t="s">
        <v>203</v>
      </c>
      <c r="H6" s="18">
        <f>H5+1</f>
        <v>1</v>
      </c>
      <c r="I6" s="18" t="s">
        <v>45</v>
      </c>
      <c r="J6" s="18">
        <v>0</v>
      </c>
      <c r="K6" s="18"/>
      <c r="L6" s="18"/>
      <c r="M6" s="18"/>
      <c r="N6" s="18">
        <f>K6*3+L6</f>
        <v>0</v>
      </c>
      <c r="Q6" s="20" t="str">
        <f>F7</f>
        <v>New Caledonia</v>
      </c>
      <c r="S6" s="1" t="s">
        <v>97</v>
      </c>
      <c r="T6" s="1">
        <v>4050</v>
      </c>
      <c r="U6" s="1">
        <v>1916</v>
      </c>
      <c r="X6" s="17" t="s">
        <v>97</v>
      </c>
      <c r="Y6" s="17" t="s">
        <v>45</v>
      </c>
      <c r="Z6" s="17" t="s">
        <v>45</v>
      </c>
      <c r="AA6" s="17" t="s">
        <v>45</v>
      </c>
    </row>
    <row r="7" spans="1:27" x14ac:dyDescent="0.3">
      <c r="A7" s="1" t="s">
        <v>19</v>
      </c>
      <c r="B7" s="1" t="s">
        <v>88</v>
      </c>
      <c r="C7" s="1" t="s">
        <v>99</v>
      </c>
      <c r="D7" s="1" t="s">
        <v>157</v>
      </c>
      <c r="E7" s="1" t="s">
        <v>216</v>
      </c>
      <c r="F7" s="1" t="s">
        <v>221</v>
      </c>
      <c r="H7" s="18">
        <f t="shared" ref="H7:H8" si="0">H6+1</f>
        <v>2</v>
      </c>
      <c r="I7" s="18" t="s">
        <v>45</v>
      </c>
      <c r="J7" s="18">
        <v>0</v>
      </c>
      <c r="K7" s="18"/>
      <c r="L7" s="18"/>
      <c r="M7" s="18"/>
      <c r="N7" s="18">
        <f t="shared" ref="N7:N8" si="1">K7*3+L7</f>
        <v>0</v>
      </c>
      <c r="S7" s="1" t="s">
        <v>98</v>
      </c>
      <c r="T7" s="1">
        <v>4055</v>
      </c>
      <c r="U7" s="1">
        <v>1907</v>
      </c>
      <c r="X7" s="17" t="s">
        <v>98</v>
      </c>
      <c r="Y7" s="17" t="s">
        <v>45</v>
      </c>
      <c r="Z7" s="17" t="s">
        <v>45</v>
      </c>
      <c r="AA7" s="17" t="s">
        <v>45</v>
      </c>
    </row>
    <row r="8" spans="1:27" x14ac:dyDescent="0.3">
      <c r="B8" s="1" t="s">
        <v>89</v>
      </c>
      <c r="C8" s="1" t="s">
        <v>102</v>
      </c>
      <c r="D8" s="1" t="s">
        <v>153</v>
      </c>
      <c r="E8" s="1" t="s">
        <v>209</v>
      </c>
      <c r="H8" s="18">
        <f t="shared" si="0"/>
        <v>3</v>
      </c>
      <c r="I8" s="18" t="s">
        <v>45</v>
      </c>
      <c r="J8" s="18">
        <v>0</v>
      </c>
      <c r="K8" s="18"/>
      <c r="L8" s="18"/>
      <c r="M8" s="18"/>
      <c r="N8" s="18">
        <f t="shared" si="1"/>
        <v>0</v>
      </c>
      <c r="Q8" s="1" t="s">
        <v>7</v>
      </c>
      <c r="S8" s="1" t="s">
        <v>87</v>
      </c>
      <c r="T8" s="1">
        <v>4051</v>
      </c>
      <c r="U8" s="1">
        <v>1892</v>
      </c>
      <c r="X8" s="17" t="s">
        <v>87</v>
      </c>
      <c r="Y8" s="17" t="s">
        <v>45</v>
      </c>
      <c r="Z8" s="17" t="s">
        <v>45</v>
      </c>
      <c r="AA8" s="17" t="s">
        <v>45</v>
      </c>
    </row>
    <row r="9" spans="1:27" x14ac:dyDescent="0.3">
      <c r="A9" s="1" t="s">
        <v>76</v>
      </c>
      <c r="B9" s="1" t="s">
        <v>90</v>
      </c>
      <c r="C9" s="1" t="s">
        <v>101</v>
      </c>
      <c r="D9" s="1" t="s">
        <v>155</v>
      </c>
      <c r="E9" s="1" t="s">
        <v>204</v>
      </c>
      <c r="Q9" s="1" t="s">
        <v>20</v>
      </c>
      <c r="S9" s="1" t="s">
        <v>99</v>
      </c>
      <c r="T9" s="1">
        <v>3896</v>
      </c>
      <c r="U9" s="1">
        <v>1850</v>
      </c>
      <c r="X9" s="17" t="s">
        <v>99</v>
      </c>
      <c r="Y9" s="17" t="s">
        <v>45</v>
      </c>
      <c r="Z9" s="17" t="s">
        <v>45</v>
      </c>
      <c r="AA9" s="17" t="s">
        <v>45</v>
      </c>
    </row>
    <row r="10" spans="1:27" x14ac:dyDescent="0.3">
      <c r="A10" s="1" t="s">
        <v>67</v>
      </c>
      <c r="B10" s="1" t="s">
        <v>92</v>
      </c>
      <c r="C10" s="1" t="s">
        <v>104</v>
      </c>
      <c r="D10" s="1" t="s">
        <v>154</v>
      </c>
      <c r="E10" s="1" t="s">
        <v>210</v>
      </c>
      <c r="Q10" s="1" t="s">
        <v>19</v>
      </c>
      <c r="S10" s="1" t="s">
        <v>90</v>
      </c>
      <c r="T10" s="1">
        <v>3835</v>
      </c>
      <c r="U10" s="1">
        <v>1804</v>
      </c>
      <c r="X10" s="17" t="s">
        <v>90</v>
      </c>
      <c r="Y10" s="17" t="s">
        <v>45</v>
      </c>
      <c r="Z10" s="17" t="s">
        <v>45</v>
      </c>
      <c r="AA10" s="17" t="s">
        <v>45</v>
      </c>
    </row>
    <row r="11" spans="1:27" x14ac:dyDescent="0.3">
      <c r="A11" s="1" t="s">
        <v>86</v>
      </c>
      <c r="C11" s="1" t="s">
        <v>100</v>
      </c>
      <c r="D11" s="1" t="s">
        <v>162</v>
      </c>
      <c r="E11" s="1" t="s">
        <v>217</v>
      </c>
      <c r="Q11" s="1" t="str">
        <f>A9</f>
        <v>Haiti</v>
      </c>
      <c r="S11" s="1" t="s">
        <v>151</v>
      </c>
      <c r="T11" s="1">
        <v>3674</v>
      </c>
      <c r="U11" s="1">
        <v>1788</v>
      </c>
      <c r="X11" s="17" t="s">
        <v>151</v>
      </c>
      <c r="Y11" s="17" t="s">
        <v>45</v>
      </c>
      <c r="Z11" s="17" t="s">
        <v>45</v>
      </c>
      <c r="AA11" s="17" t="s">
        <v>45</v>
      </c>
    </row>
    <row r="12" spans="1:27" x14ac:dyDescent="0.3">
      <c r="B12" s="1" t="s">
        <v>93</v>
      </c>
      <c r="C12" s="1" t="s">
        <v>105</v>
      </c>
      <c r="D12" s="1" t="s">
        <v>163</v>
      </c>
      <c r="E12" s="1" t="s">
        <v>206</v>
      </c>
      <c r="Q12" s="1" t="str">
        <f>A10</f>
        <v>Panama</v>
      </c>
      <c r="S12" s="1" t="s">
        <v>102</v>
      </c>
      <c r="T12" s="1">
        <v>3800</v>
      </c>
      <c r="U12" s="1">
        <v>1787</v>
      </c>
      <c r="X12" s="17" t="s">
        <v>102</v>
      </c>
      <c r="Y12" s="17" t="s">
        <v>45</v>
      </c>
      <c r="Z12" s="17" t="s">
        <v>45</v>
      </c>
      <c r="AA12" s="17" t="s">
        <v>45</v>
      </c>
    </row>
    <row r="13" spans="1:27" x14ac:dyDescent="0.3">
      <c r="A13" s="1" t="s">
        <v>72</v>
      </c>
      <c r="C13" s="1" t="s">
        <v>106</v>
      </c>
      <c r="D13" s="1" t="s">
        <v>160</v>
      </c>
      <c r="I13" s="17" t="s">
        <v>8</v>
      </c>
      <c r="Q13" s="1" t="str">
        <f>A11</f>
        <v>Curacao</v>
      </c>
      <c r="S13" s="1" t="s">
        <v>101</v>
      </c>
      <c r="T13" s="1">
        <v>3746</v>
      </c>
      <c r="U13" s="1">
        <v>1775</v>
      </c>
      <c r="X13" s="17" t="s">
        <v>101</v>
      </c>
      <c r="Y13" s="17" t="s">
        <v>45</v>
      </c>
      <c r="Z13" s="17" t="s">
        <v>45</v>
      </c>
      <c r="AA13" s="17" t="s">
        <v>45</v>
      </c>
    </row>
    <row r="14" spans="1:27" x14ac:dyDescent="0.3">
      <c r="A14" s="1" t="s">
        <v>82</v>
      </c>
      <c r="C14" s="1" t="s">
        <v>108</v>
      </c>
      <c r="E14" s="1" t="s">
        <v>211</v>
      </c>
      <c r="H14" s="18"/>
      <c r="I14" s="18" t="s">
        <v>0</v>
      </c>
      <c r="J14" s="18" t="s">
        <v>5</v>
      </c>
      <c r="K14" s="18" t="s">
        <v>2</v>
      </c>
      <c r="L14" s="18" t="s">
        <v>3</v>
      </c>
      <c r="M14" s="18" t="s">
        <v>4</v>
      </c>
      <c r="N14" s="18" t="s">
        <v>1</v>
      </c>
      <c r="Q14" s="1" t="str">
        <f t="shared" ref="Q14:Q19" si="2">B5</f>
        <v>Argentina</v>
      </c>
      <c r="S14" s="1" t="s">
        <v>100</v>
      </c>
      <c r="T14" s="1">
        <v>3666</v>
      </c>
      <c r="U14" s="1">
        <v>1756</v>
      </c>
      <c r="X14" s="17" t="s">
        <v>100</v>
      </c>
    </row>
    <row r="15" spans="1:27" x14ac:dyDescent="0.3">
      <c r="C15" s="1" t="s">
        <v>120</v>
      </c>
      <c r="D15" s="1" t="s">
        <v>254</v>
      </c>
      <c r="H15" s="18">
        <f>H14+1</f>
        <v>1</v>
      </c>
      <c r="I15" s="18" t="s">
        <v>45</v>
      </c>
      <c r="J15" s="18">
        <v>0</v>
      </c>
      <c r="K15" s="18"/>
      <c r="L15" s="18"/>
      <c r="M15" s="18"/>
      <c r="N15" s="18">
        <f>K15*3+L15</f>
        <v>0</v>
      </c>
      <c r="Q15" s="1" t="str">
        <f t="shared" si="2"/>
        <v>Ecuador</v>
      </c>
      <c r="S15" s="1" t="s">
        <v>88</v>
      </c>
      <c r="T15" s="1">
        <v>3733</v>
      </c>
      <c r="U15" s="1">
        <v>1729</v>
      </c>
    </row>
    <row r="16" spans="1:27" x14ac:dyDescent="0.3">
      <c r="C16" s="1" t="s">
        <v>123</v>
      </c>
      <c r="H16" s="18">
        <f t="shared" ref="H16:H17" si="3">H15+1</f>
        <v>2</v>
      </c>
      <c r="I16" s="18" t="s">
        <v>45</v>
      </c>
      <c r="J16" s="18">
        <v>0</v>
      </c>
      <c r="K16" s="18"/>
      <c r="L16" s="18"/>
      <c r="M16" s="18"/>
      <c r="N16" s="18">
        <f t="shared" ref="N16:N17" si="4">K16*3+L16</f>
        <v>0</v>
      </c>
      <c r="Q16" s="1" t="str">
        <f t="shared" si="2"/>
        <v>Colombia</v>
      </c>
      <c r="S16" s="1" t="s">
        <v>105</v>
      </c>
      <c r="T16" s="1">
        <v>3634</v>
      </c>
      <c r="U16" s="1">
        <v>1726</v>
      </c>
    </row>
    <row r="17" spans="3:27" x14ac:dyDescent="0.3">
      <c r="C17" s="1" t="s">
        <v>132</v>
      </c>
      <c r="H17" s="18">
        <f t="shared" si="3"/>
        <v>3</v>
      </c>
      <c r="I17" s="18" t="s">
        <v>45</v>
      </c>
      <c r="J17" s="18">
        <v>0</v>
      </c>
      <c r="K17" s="18"/>
      <c r="L17" s="18"/>
      <c r="M17" s="18"/>
      <c r="N17" s="18">
        <f t="shared" si="4"/>
        <v>0</v>
      </c>
      <c r="Q17" s="1" t="str">
        <f t="shared" si="2"/>
        <v>Uruguay</v>
      </c>
      <c r="S17" s="1" t="s">
        <v>104</v>
      </c>
      <c r="T17" s="1">
        <v>3605</v>
      </c>
      <c r="U17" s="1">
        <v>1723</v>
      </c>
      <c r="X17" s="17">
        <f t="shared" ref="X17:X28" ca="1" si="5">RANDBETWEEN(0,999)</f>
        <v>131</v>
      </c>
      <c r="Y17" s="17" t="s">
        <v>230</v>
      </c>
      <c r="Z17" s="17" t="s">
        <v>240</v>
      </c>
      <c r="AA17" s="17">
        <f t="shared" ref="AA17:AA28" ca="1" si="6">RANDBETWEEN(0,999)</f>
        <v>291</v>
      </c>
    </row>
    <row r="18" spans="3:27" x14ac:dyDescent="0.3">
      <c r="C18" s="1" t="s">
        <v>111</v>
      </c>
      <c r="Q18" s="1" t="str">
        <f t="shared" si="2"/>
        <v>Brazil</v>
      </c>
      <c r="S18" s="1" t="s">
        <v>106</v>
      </c>
      <c r="T18" s="1">
        <v>3639</v>
      </c>
      <c r="U18" s="1">
        <v>1696</v>
      </c>
      <c r="X18" s="17">
        <f t="shared" ca="1" si="5"/>
        <v>434</v>
      </c>
      <c r="Y18" s="17" t="s">
        <v>231</v>
      </c>
      <c r="Z18" s="17" t="s">
        <v>240</v>
      </c>
      <c r="AA18" s="17">
        <f t="shared" ca="1" si="6"/>
        <v>999</v>
      </c>
    </row>
    <row r="19" spans="3:27" x14ac:dyDescent="0.3">
      <c r="C19" s="1" t="s">
        <v>110</v>
      </c>
      <c r="Q19" s="1" t="str">
        <f t="shared" si="2"/>
        <v>Paraguay</v>
      </c>
      <c r="S19" s="1" t="s">
        <v>215</v>
      </c>
      <c r="T19" s="1">
        <v>3561</v>
      </c>
      <c r="U19" s="1">
        <v>1673</v>
      </c>
      <c r="X19" s="17">
        <f t="shared" ca="1" si="5"/>
        <v>264</v>
      </c>
      <c r="Y19" s="17" t="s">
        <v>232</v>
      </c>
      <c r="Z19" s="17" t="s">
        <v>240</v>
      </c>
      <c r="AA19" s="17">
        <f t="shared" ca="1" si="6"/>
        <v>55</v>
      </c>
    </row>
    <row r="20" spans="3:27" x14ac:dyDescent="0.3">
      <c r="C20" s="1" t="s">
        <v>119</v>
      </c>
      <c r="Q20" s="1" t="str">
        <f t="shared" ref="Q20:Q35" si="7">C5</f>
        <v>Spain</v>
      </c>
      <c r="S20" s="1" t="s">
        <v>152</v>
      </c>
      <c r="T20" s="1">
        <v>3469</v>
      </c>
      <c r="U20" s="1">
        <v>1653</v>
      </c>
      <c r="X20" s="17">
        <f t="shared" ca="1" si="5"/>
        <v>874</v>
      </c>
      <c r="Y20" s="17" t="s">
        <v>3</v>
      </c>
      <c r="Z20" s="17" t="s">
        <v>240</v>
      </c>
      <c r="AA20" s="17">
        <f t="shared" ca="1" si="6"/>
        <v>966</v>
      </c>
    </row>
    <row r="21" spans="3:27" x14ac:dyDescent="0.3">
      <c r="Q21" s="1" t="str">
        <f t="shared" si="7"/>
        <v>France</v>
      </c>
      <c r="S21" s="1" t="s">
        <v>89</v>
      </c>
      <c r="T21" s="1">
        <v>3475</v>
      </c>
      <c r="U21" s="1">
        <v>1634</v>
      </c>
      <c r="X21" s="17">
        <f t="shared" ca="1" si="5"/>
        <v>548</v>
      </c>
      <c r="Y21" s="17" t="s">
        <v>234</v>
      </c>
      <c r="Z21" s="17" t="s">
        <v>240</v>
      </c>
      <c r="AA21" s="17">
        <f t="shared" ca="1" si="6"/>
        <v>192</v>
      </c>
    </row>
    <row r="22" spans="3:27" x14ac:dyDescent="0.3">
      <c r="I22" s="19" t="s">
        <v>229</v>
      </c>
      <c r="J22" s="19"/>
      <c r="Q22" s="1" t="str">
        <f t="shared" si="7"/>
        <v>England</v>
      </c>
      <c r="S22" s="1" t="s">
        <v>120</v>
      </c>
      <c r="T22" s="1">
        <v>3551</v>
      </c>
      <c r="U22" s="1">
        <v>1617</v>
      </c>
      <c r="X22" s="17">
        <f t="shared" ca="1" si="5"/>
        <v>672</v>
      </c>
      <c r="Y22" s="17" t="s">
        <v>235</v>
      </c>
      <c r="Z22" s="17" t="s">
        <v>240</v>
      </c>
      <c r="AA22" s="17">
        <f t="shared" ca="1" si="6"/>
        <v>290</v>
      </c>
    </row>
    <row r="23" spans="3:27" x14ac:dyDescent="0.3">
      <c r="I23" s="17" t="s">
        <v>45</v>
      </c>
      <c r="J23" s="17">
        <f t="shared" ref="J23:J28" ca="1" si="8">RANDBETWEEN(0,999)</f>
        <v>631</v>
      </c>
      <c r="Q23" s="1" t="str">
        <f t="shared" si="7"/>
        <v>Portugal</v>
      </c>
      <c r="S23" s="1" t="s">
        <v>203</v>
      </c>
      <c r="T23" s="1">
        <v>3373</v>
      </c>
      <c r="U23" s="1">
        <v>1609</v>
      </c>
      <c r="X23" s="17">
        <f t="shared" ca="1" si="5"/>
        <v>940</v>
      </c>
      <c r="Y23" s="17" t="s">
        <v>233</v>
      </c>
      <c r="Z23" s="17" t="s">
        <v>240</v>
      </c>
      <c r="AA23" s="17">
        <f t="shared" ca="1" si="6"/>
        <v>793</v>
      </c>
    </row>
    <row r="24" spans="3:27" x14ac:dyDescent="0.3">
      <c r="I24" s="17" t="s">
        <v>45</v>
      </c>
      <c r="J24" s="17">
        <f t="shared" ca="1" si="8"/>
        <v>427</v>
      </c>
      <c r="Q24" s="1" t="str">
        <f t="shared" si="7"/>
        <v>Netherlands</v>
      </c>
      <c r="S24" s="1" t="s">
        <v>108</v>
      </c>
      <c r="T24" s="6">
        <v>3419</v>
      </c>
      <c r="U24" s="6">
        <v>1598</v>
      </c>
      <c r="X24" s="17">
        <f t="shared" ca="1" si="5"/>
        <v>283</v>
      </c>
      <c r="Y24" s="17" t="s">
        <v>236</v>
      </c>
      <c r="Z24" s="17" t="s">
        <v>240</v>
      </c>
      <c r="AA24" s="17">
        <f t="shared" ca="1" si="6"/>
        <v>415</v>
      </c>
    </row>
    <row r="25" spans="3:27" x14ac:dyDescent="0.3">
      <c r="I25" s="19" t="s">
        <v>45</v>
      </c>
      <c r="J25" s="19">
        <f t="shared" ca="1" si="8"/>
        <v>626</v>
      </c>
      <c r="Q25" s="1" t="str">
        <f t="shared" si="7"/>
        <v>Croatia</v>
      </c>
      <c r="S25" s="1" t="s">
        <v>153</v>
      </c>
      <c r="T25" s="1">
        <v>3344</v>
      </c>
      <c r="U25" s="1">
        <v>1597</v>
      </c>
      <c r="X25" s="17">
        <f t="shared" ca="1" si="5"/>
        <v>20</v>
      </c>
      <c r="Y25" s="17" t="s">
        <v>237</v>
      </c>
      <c r="Z25" s="17" t="s">
        <v>240</v>
      </c>
      <c r="AA25" s="17">
        <f t="shared" ca="1" si="6"/>
        <v>322</v>
      </c>
    </row>
    <row r="26" spans="3:27" x14ac:dyDescent="0.3">
      <c r="I26" s="17" t="s">
        <v>45</v>
      </c>
      <c r="J26" s="17">
        <f t="shared" ca="1" si="8"/>
        <v>384</v>
      </c>
      <c r="Q26" s="1" t="str">
        <f t="shared" si="7"/>
        <v>Belgium</v>
      </c>
      <c r="S26" s="1" t="s">
        <v>91</v>
      </c>
      <c r="T26" s="1">
        <v>3463</v>
      </c>
      <c r="U26" s="1">
        <v>1592</v>
      </c>
      <c r="X26" s="17">
        <f t="shared" ca="1" si="5"/>
        <v>657</v>
      </c>
      <c r="Y26" s="17" t="s">
        <v>238</v>
      </c>
      <c r="Z26" s="17" t="s">
        <v>240</v>
      </c>
      <c r="AA26" s="17">
        <f t="shared" ca="1" si="6"/>
        <v>373</v>
      </c>
    </row>
    <row r="27" spans="3:27" x14ac:dyDescent="0.3">
      <c r="I27" s="17" t="s">
        <v>45</v>
      </c>
      <c r="J27" s="17">
        <f t="shared" ca="1" si="8"/>
        <v>86</v>
      </c>
      <c r="Q27" s="1" t="str">
        <f t="shared" si="7"/>
        <v>Germany</v>
      </c>
      <c r="S27" s="1" t="s">
        <v>110</v>
      </c>
      <c r="T27" s="1">
        <v>3434</v>
      </c>
      <c r="U27" s="1">
        <v>1582</v>
      </c>
      <c r="X27" s="17">
        <f t="shared" ca="1" si="5"/>
        <v>524</v>
      </c>
      <c r="Y27" s="17" t="s">
        <v>239</v>
      </c>
      <c r="Z27" s="17" t="s">
        <v>240</v>
      </c>
      <c r="AA27" s="17">
        <f t="shared" ca="1" si="6"/>
        <v>879</v>
      </c>
    </row>
    <row r="28" spans="3:27" x14ac:dyDescent="0.3">
      <c r="I28" s="17" t="s">
        <v>45</v>
      </c>
      <c r="J28" s="17">
        <f t="shared" ca="1" si="8"/>
        <v>325</v>
      </c>
      <c r="Q28" s="1" t="str">
        <f t="shared" si="7"/>
        <v>Switzerland</v>
      </c>
      <c r="S28" s="1" t="s">
        <v>216</v>
      </c>
      <c r="T28" s="1">
        <v>3376</v>
      </c>
      <c r="U28" s="1">
        <v>1581</v>
      </c>
      <c r="X28" s="17">
        <f t="shared" ca="1" si="5"/>
        <v>530</v>
      </c>
      <c r="Y28" s="17" t="s">
        <v>4</v>
      </c>
      <c r="Z28" s="17" t="s">
        <v>240</v>
      </c>
      <c r="AA28" s="17">
        <f t="shared" ca="1" si="6"/>
        <v>999</v>
      </c>
    </row>
    <row r="29" spans="3:27" x14ac:dyDescent="0.3">
      <c r="Q29" s="1" t="str">
        <f t="shared" si="7"/>
        <v>Austria</v>
      </c>
      <c r="S29" s="1" t="s">
        <v>157</v>
      </c>
      <c r="T29" s="1">
        <v>3332</v>
      </c>
      <c r="U29" s="1">
        <v>1576</v>
      </c>
    </row>
    <row r="30" spans="3:27" x14ac:dyDescent="0.3">
      <c r="Q30" s="1" t="str">
        <f t="shared" si="7"/>
        <v>Norway</v>
      </c>
      <c r="S30" s="1" t="s">
        <v>154</v>
      </c>
      <c r="T30" s="1">
        <v>3292</v>
      </c>
      <c r="U30" s="1">
        <v>1565</v>
      </c>
    </row>
    <row r="31" spans="3:27" x14ac:dyDescent="0.3">
      <c r="Q31" s="1" t="str">
        <f t="shared" si="7"/>
        <v>Scotland</v>
      </c>
      <c r="S31" s="1" t="s">
        <v>209</v>
      </c>
      <c r="T31" s="1">
        <v>3281</v>
      </c>
      <c r="U31" s="1">
        <v>1558</v>
      </c>
    </row>
    <row r="32" spans="3:27" x14ac:dyDescent="0.3">
      <c r="Q32" s="1" t="str">
        <f t="shared" si="7"/>
        <v>Bosnia</v>
      </c>
      <c r="S32" s="1" t="s">
        <v>92</v>
      </c>
      <c r="T32" s="1">
        <v>3365</v>
      </c>
      <c r="U32" s="1">
        <v>1542</v>
      </c>
    </row>
    <row r="33" spans="17:21" x14ac:dyDescent="0.3">
      <c r="Q33" s="1" t="str">
        <f t="shared" si="7"/>
        <v>Sweden</v>
      </c>
      <c r="S33" s="1" t="s">
        <v>111</v>
      </c>
      <c r="T33" s="1">
        <v>3256</v>
      </c>
      <c r="U33" s="1">
        <v>1525</v>
      </c>
    </row>
    <row r="34" spans="17:21" x14ac:dyDescent="0.3">
      <c r="Q34" s="1" t="str">
        <f t="shared" si="7"/>
        <v>Turkiye</v>
      </c>
      <c r="S34" s="1" t="s">
        <v>254</v>
      </c>
      <c r="T34" s="1">
        <v>3199</v>
      </c>
      <c r="U34" s="1">
        <v>1495</v>
      </c>
    </row>
    <row r="35" spans="17:21" x14ac:dyDescent="0.3">
      <c r="Q35" s="1" t="str">
        <f t="shared" si="7"/>
        <v>Czechia</v>
      </c>
      <c r="S35" s="1" t="s">
        <v>123</v>
      </c>
      <c r="T35" s="1">
        <v>3236</v>
      </c>
      <c r="U35" s="1">
        <v>1491</v>
      </c>
    </row>
    <row r="36" spans="17:21" x14ac:dyDescent="0.3">
      <c r="Q36" s="1" t="str">
        <f t="shared" ref="Q36:Q44" si="9">D5</f>
        <v>Morocco</v>
      </c>
      <c r="S36" s="1" t="s">
        <v>67</v>
      </c>
      <c r="T36" s="1">
        <v>3136</v>
      </c>
      <c r="U36" s="1">
        <v>1478</v>
      </c>
    </row>
    <row r="37" spans="17:21" x14ac:dyDescent="0.3">
      <c r="Q37" s="1" t="str">
        <f t="shared" si="9"/>
        <v>Senegal</v>
      </c>
      <c r="S37" s="1" t="s">
        <v>119</v>
      </c>
      <c r="T37" s="1">
        <v>3147</v>
      </c>
      <c r="U37" s="1">
        <v>1467</v>
      </c>
    </row>
    <row r="38" spans="17:21" x14ac:dyDescent="0.3">
      <c r="Q38" s="1" t="str">
        <f t="shared" si="9"/>
        <v>Algeria</v>
      </c>
      <c r="S38" s="1" t="s">
        <v>160</v>
      </c>
      <c r="T38" s="1">
        <v>3010</v>
      </c>
      <c r="U38" s="1">
        <v>1451</v>
      </c>
    </row>
    <row r="39" spans="17:21" x14ac:dyDescent="0.3">
      <c r="Q39" s="1" t="str">
        <f t="shared" si="9"/>
        <v>Egypt</v>
      </c>
      <c r="S39" s="1" t="s">
        <v>155</v>
      </c>
      <c r="T39" s="1">
        <v>2988</v>
      </c>
      <c r="U39" s="1">
        <v>1426</v>
      </c>
    </row>
    <row r="40" spans="17:21" x14ac:dyDescent="0.3">
      <c r="Q40" s="1" t="str">
        <f t="shared" si="9"/>
        <v>Tunisia</v>
      </c>
      <c r="S40" s="1" t="s">
        <v>217</v>
      </c>
      <c r="T40" s="1">
        <v>3021</v>
      </c>
      <c r="U40" s="1">
        <v>1425</v>
      </c>
    </row>
    <row r="41" spans="17:21" x14ac:dyDescent="0.3">
      <c r="Q41" s="1" t="str">
        <f t="shared" si="9"/>
        <v>Côte d'Ivoire</v>
      </c>
      <c r="S41" s="1" t="s">
        <v>162</v>
      </c>
      <c r="T41" s="1">
        <v>3043</v>
      </c>
      <c r="U41" s="1">
        <v>1421</v>
      </c>
    </row>
    <row r="42" spans="17:21" x14ac:dyDescent="0.3">
      <c r="Q42" s="1" t="str">
        <f t="shared" si="9"/>
        <v>Cabo Verde</v>
      </c>
      <c r="S42" s="1" t="s">
        <v>206</v>
      </c>
      <c r="T42" s="1">
        <v>2822</v>
      </c>
      <c r="U42" s="1">
        <v>1411</v>
      </c>
    </row>
    <row r="43" spans="17:21" x14ac:dyDescent="0.3">
      <c r="Q43" s="1" t="str">
        <f t="shared" si="9"/>
        <v>Ghana</v>
      </c>
      <c r="S43" s="1" t="s">
        <v>204</v>
      </c>
      <c r="T43" s="1">
        <v>3040</v>
      </c>
      <c r="U43" s="1">
        <v>1409</v>
      </c>
    </row>
    <row r="44" spans="17:21" x14ac:dyDescent="0.3">
      <c r="Q44" s="1" t="str">
        <f t="shared" si="9"/>
        <v>South Africa</v>
      </c>
      <c r="S44" s="1" t="s">
        <v>132</v>
      </c>
      <c r="T44" s="1">
        <v>3013</v>
      </c>
      <c r="U44" s="1">
        <v>1408</v>
      </c>
    </row>
    <row r="45" spans="17:21" x14ac:dyDescent="0.3">
      <c r="Q45" s="1" t="str">
        <f t="shared" ref="Q45:Q52" si="10">E5</f>
        <v>Japan</v>
      </c>
      <c r="S45" s="1" t="s">
        <v>211</v>
      </c>
      <c r="T45" s="1">
        <v>2965</v>
      </c>
      <c r="U45" s="1">
        <v>1404</v>
      </c>
    </row>
    <row r="46" spans="17:21" x14ac:dyDescent="0.3">
      <c r="Q46" s="1" t="str">
        <f t="shared" si="10"/>
        <v>Iran</v>
      </c>
      <c r="S46" s="1" t="s">
        <v>163</v>
      </c>
      <c r="T46" s="1">
        <v>2962</v>
      </c>
      <c r="U46" s="1">
        <v>1387</v>
      </c>
    </row>
    <row r="47" spans="17:21" x14ac:dyDescent="0.3">
      <c r="Q47" s="1" t="str">
        <f t="shared" si="10"/>
        <v>Australia</v>
      </c>
      <c r="S47" s="1" t="s">
        <v>210</v>
      </c>
      <c r="T47" s="1">
        <v>2978</v>
      </c>
      <c r="U47" s="1">
        <v>1350</v>
      </c>
    </row>
    <row r="48" spans="17:21" x14ac:dyDescent="0.3">
      <c r="Q48" s="1" t="str">
        <f t="shared" si="10"/>
        <v>South Korea</v>
      </c>
      <c r="S48" s="1" t="s">
        <v>86</v>
      </c>
      <c r="T48" s="1">
        <v>2723</v>
      </c>
      <c r="U48" s="1">
        <v>1285</v>
      </c>
    </row>
    <row r="49" spans="17:21" x14ac:dyDescent="0.3">
      <c r="Q49" s="1" t="str">
        <f t="shared" si="10"/>
        <v>Uzbekistan</v>
      </c>
      <c r="S49" s="1" t="s">
        <v>224</v>
      </c>
      <c r="T49" s="1">
        <v>2803</v>
      </c>
      <c r="U49" s="1">
        <v>1269</v>
      </c>
    </row>
    <row r="50" spans="17:21" x14ac:dyDescent="0.3">
      <c r="Q50" s="1" t="str">
        <f t="shared" si="10"/>
        <v>Jordan</v>
      </c>
      <c r="S50" s="1" t="s">
        <v>76</v>
      </c>
      <c r="T50" s="1">
        <v>2781</v>
      </c>
      <c r="U50" s="1">
        <v>1264</v>
      </c>
    </row>
    <row r="51" spans="17:21" x14ac:dyDescent="0.3">
      <c r="Q51" s="1" t="str">
        <f t="shared" si="10"/>
        <v>Saudi Arabia</v>
      </c>
    </row>
    <row r="52" spans="17:21" x14ac:dyDescent="0.3">
      <c r="Q52" s="1" t="str">
        <f t="shared" si="10"/>
        <v>Qatar</v>
      </c>
    </row>
    <row r="53" spans="17:21" x14ac:dyDescent="0.3">
      <c r="Q53" s="1" t="str">
        <f>F5</f>
        <v>New Zealand</v>
      </c>
    </row>
  </sheetData>
  <sortState xmlns:xlrd2="http://schemas.microsoft.com/office/spreadsheetml/2017/richdata2" ref="S6:U50">
    <sortCondition descending="1" ref="U6:U50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8800-6689-4AFE-ADF8-38C655D75ADA}">
  <dimension ref="A1:AH38"/>
  <sheetViews>
    <sheetView workbookViewId="0">
      <selection activeCell="Z20" sqref="Z20"/>
    </sheetView>
  </sheetViews>
  <sheetFormatPr baseColWidth="10" defaultColWidth="8.88671875" defaultRowHeight="14.4" x14ac:dyDescent="0.3"/>
  <cols>
    <col min="1" max="1" width="3.88671875" style="1" customWidth="1"/>
    <col min="2" max="2" width="14" style="1" customWidth="1"/>
    <col min="3" max="7" width="3.77734375" style="1" customWidth="1"/>
    <col min="8" max="9" width="7.109375" style="1" customWidth="1"/>
    <col min="10" max="10" width="3.88671875" style="1" customWidth="1"/>
    <col min="11" max="11" width="13.88671875" style="1" customWidth="1"/>
    <col min="12" max="16" width="3.77734375" style="1" customWidth="1"/>
    <col min="17" max="18" width="7.33203125" style="1" customWidth="1"/>
    <col min="19" max="19" width="3.88671875" style="1" customWidth="1"/>
    <col min="20" max="20" width="13.6640625" style="1" customWidth="1"/>
    <col min="21" max="25" width="3.77734375" style="1" customWidth="1"/>
    <col min="26" max="27" width="7" style="1" customWidth="1"/>
    <col min="28" max="28" width="3.88671875" style="1" customWidth="1"/>
    <col min="29" max="29" width="13.88671875" style="1" customWidth="1"/>
    <col min="30" max="34" width="3.77734375" style="1" customWidth="1"/>
    <col min="35" max="16384" width="8.88671875" style="1"/>
  </cols>
  <sheetData>
    <row r="1" spans="1:34" x14ac:dyDescent="0.3">
      <c r="B1" s="1" t="s">
        <v>6</v>
      </c>
      <c r="K1" s="1" t="s">
        <v>8</v>
      </c>
      <c r="T1" s="1" t="s">
        <v>9</v>
      </c>
      <c r="AC1" s="1" t="s">
        <v>10</v>
      </c>
    </row>
    <row r="2" spans="1:34" x14ac:dyDescent="0.3">
      <c r="A2" s="2"/>
      <c r="B2" s="2" t="s">
        <v>0</v>
      </c>
      <c r="C2" s="2" t="s">
        <v>5</v>
      </c>
      <c r="D2" s="2" t="s">
        <v>2</v>
      </c>
      <c r="E2" s="2" t="s">
        <v>3</v>
      </c>
      <c r="F2" s="2" t="s">
        <v>4</v>
      </c>
      <c r="G2" s="2" t="s">
        <v>1</v>
      </c>
      <c r="J2" s="2"/>
      <c r="K2" s="2" t="s">
        <v>0</v>
      </c>
      <c r="L2" s="2" t="s">
        <v>5</v>
      </c>
      <c r="M2" s="2" t="s">
        <v>2</v>
      </c>
      <c r="N2" s="2" t="s">
        <v>3</v>
      </c>
      <c r="O2" s="2" t="s">
        <v>4</v>
      </c>
      <c r="P2" s="2" t="s">
        <v>1</v>
      </c>
      <c r="S2" s="2"/>
      <c r="T2" s="2" t="s">
        <v>0</v>
      </c>
      <c r="U2" s="2" t="s">
        <v>5</v>
      </c>
      <c r="V2" s="2" t="s">
        <v>2</v>
      </c>
      <c r="W2" s="2" t="s">
        <v>3</v>
      </c>
      <c r="X2" s="2" t="s">
        <v>4</v>
      </c>
      <c r="Y2" s="2" t="s">
        <v>1</v>
      </c>
      <c r="AB2" s="2"/>
      <c r="AC2" s="2" t="s">
        <v>0</v>
      </c>
      <c r="AD2" s="2" t="s">
        <v>5</v>
      </c>
      <c r="AE2" s="2" t="s">
        <v>2</v>
      </c>
      <c r="AF2" s="2" t="s">
        <v>3</v>
      </c>
      <c r="AG2" s="2" t="s">
        <v>4</v>
      </c>
      <c r="AH2" s="2" t="s">
        <v>1</v>
      </c>
    </row>
    <row r="3" spans="1:34" x14ac:dyDescent="0.3">
      <c r="A3" s="2">
        <f t="shared" ref="A3:A6" si="0">A2+1</f>
        <v>1</v>
      </c>
      <c r="B3" s="2" t="s">
        <v>7</v>
      </c>
      <c r="C3" s="2">
        <v>0</v>
      </c>
      <c r="D3" s="2"/>
      <c r="E3" s="2"/>
      <c r="F3" s="2"/>
      <c r="G3" s="2">
        <f>D3*3+E3</f>
        <v>0</v>
      </c>
      <c r="J3" s="2">
        <f t="shared" ref="J3:J6" si="1">J2+1</f>
        <v>1</v>
      </c>
      <c r="K3" s="2" t="s">
        <v>19</v>
      </c>
      <c r="L3" s="2">
        <v>0</v>
      </c>
      <c r="M3" s="2"/>
      <c r="N3" s="2"/>
      <c r="O3" s="2"/>
      <c r="P3" s="2">
        <f>M3*3+N3</f>
        <v>0</v>
      </c>
      <c r="S3" s="2">
        <f t="shared" ref="S3:S6" si="2">S2+1</f>
        <v>1</v>
      </c>
      <c r="T3" s="2" t="s">
        <v>90</v>
      </c>
      <c r="U3" s="2">
        <v>0</v>
      </c>
      <c r="V3" s="2"/>
      <c r="W3" s="2"/>
      <c r="X3" s="2"/>
      <c r="Y3" s="2">
        <f>V3*3+W3</f>
        <v>0</v>
      </c>
      <c r="AB3" s="2">
        <f t="shared" ref="AB3:AB6" si="3">AB2+1</f>
        <v>1</v>
      </c>
      <c r="AC3" s="2" t="s">
        <v>20</v>
      </c>
      <c r="AD3" s="2">
        <v>0</v>
      </c>
      <c r="AE3" s="2"/>
      <c r="AF3" s="2"/>
      <c r="AG3" s="2"/>
      <c r="AH3" s="2">
        <f>AE3*3+AF3</f>
        <v>0</v>
      </c>
    </row>
    <row r="4" spans="1:34" x14ac:dyDescent="0.3">
      <c r="A4" s="2">
        <f t="shared" si="0"/>
        <v>2</v>
      </c>
      <c r="B4" s="2" t="s">
        <v>160</v>
      </c>
      <c r="C4" s="2">
        <v>0</v>
      </c>
      <c r="D4" s="2"/>
      <c r="E4" s="2"/>
      <c r="F4" s="2"/>
      <c r="G4" s="2">
        <f t="shared" ref="G4:G6" si="4">D4*3+E4</f>
        <v>0</v>
      </c>
      <c r="J4" s="2">
        <f t="shared" si="1"/>
        <v>2</v>
      </c>
      <c r="K4" s="2" t="s">
        <v>132</v>
      </c>
      <c r="L4" s="2">
        <v>0</v>
      </c>
      <c r="M4" s="2"/>
      <c r="N4" s="2"/>
      <c r="O4" s="2"/>
      <c r="P4" s="2">
        <f t="shared" ref="P4:P6" si="5">M4*3+N4</f>
        <v>0</v>
      </c>
      <c r="S4" s="2">
        <f t="shared" si="2"/>
        <v>2</v>
      </c>
      <c r="T4" s="2" t="s">
        <v>151</v>
      </c>
      <c r="U4" s="2">
        <v>0</v>
      </c>
      <c r="V4" s="2"/>
      <c r="W4" s="2"/>
      <c r="X4" s="2"/>
      <c r="Y4" s="2">
        <f t="shared" ref="Y4:Y6" si="6">V4*3+W4</f>
        <v>0</v>
      </c>
      <c r="AB4" s="2">
        <f t="shared" si="3"/>
        <v>2</v>
      </c>
      <c r="AC4" s="2" t="s">
        <v>92</v>
      </c>
      <c r="AD4" s="2">
        <v>0</v>
      </c>
      <c r="AE4" s="2"/>
      <c r="AF4" s="2"/>
      <c r="AG4" s="2"/>
      <c r="AH4" s="2">
        <f t="shared" ref="AH4:AH6" si="7">AE4*3+AF4</f>
        <v>0</v>
      </c>
    </row>
    <row r="5" spans="1:34" x14ac:dyDescent="0.3">
      <c r="A5" s="2">
        <f t="shared" si="0"/>
        <v>3</v>
      </c>
      <c r="B5" s="2" t="s">
        <v>209</v>
      </c>
      <c r="C5" s="2">
        <v>0</v>
      </c>
      <c r="D5" s="2"/>
      <c r="E5" s="2"/>
      <c r="F5" s="2"/>
      <c r="G5" s="2">
        <f t="shared" si="4"/>
        <v>0</v>
      </c>
      <c r="J5" s="2">
        <f t="shared" si="1"/>
        <v>3</v>
      </c>
      <c r="K5" s="2" t="s">
        <v>206</v>
      </c>
      <c r="L5" s="2">
        <v>0</v>
      </c>
      <c r="M5" s="2"/>
      <c r="N5" s="2"/>
      <c r="O5" s="2"/>
      <c r="P5" s="2">
        <f t="shared" si="5"/>
        <v>0</v>
      </c>
      <c r="S5" s="2">
        <f t="shared" si="2"/>
        <v>3</v>
      </c>
      <c r="T5" s="2" t="s">
        <v>76</v>
      </c>
      <c r="U5" s="2">
        <v>0</v>
      </c>
      <c r="V5" s="2"/>
      <c r="W5" s="2"/>
      <c r="X5" s="2"/>
      <c r="Y5" s="2">
        <f t="shared" si="6"/>
        <v>0</v>
      </c>
      <c r="AB5" s="2">
        <f t="shared" si="3"/>
        <v>3</v>
      </c>
      <c r="AC5" s="2" t="s">
        <v>216</v>
      </c>
      <c r="AD5" s="2">
        <v>0</v>
      </c>
      <c r="AE5" s="2"/>
      <c r="AF5" s="2"/>
      <c r="AG5" s="2"/>
      <c r="AH5" s="2">
        <f t="shared" si="7"/>
        <v>0</v>
      </c>
    </row>
    <row r="6" spans="1:34" x14ac:dyDescent="0.3">
      <c r="A6" s="2">
        <f t="shared" si="0"/>
        <v>4</v>
      </c>
      <c r="B6" s="2" t="s">
        <v>119</v>
      </c>
      <c r="C6" s="2">
        <v>0</v>
      </c>
      <c r="D6" s="2"/>
      <c r="E6" s="2"/>
      <c r="F6" s="2"/>
      <c r="G6" s="2">
        <f t="shared" si="4"/>
        <v>0</v>
      </c>
      <c r="J6" s="2">
        <f t="shared" si="1"/>
        <v>4</v>
      </c>
      <c r="K6" s="2" t="s">
        <v>106</v>
      </c>
      <c r="L6" s="2">
        <v>0</v>
      </c>
      <c r="M6" s="2"/>
      <c r="N6" s="2"/>
      <c r="O6" s="2"/>
      <c r="P6" s="2">
        <f t="shared" si="5"/>
        <v>0</v>
      </c>
      <c r="S6" s="2">
        <f t="shared" si="2"/>
        <v>4</v>
      </c>
      <c r="T6" s="2" t="s">
        <v>123</v>
      </c>
      <c r="U6" s="2">
        <v>0</v>
      </c>
      <c r="V6" s="2"/>
      <c r="W6" s="2"/>
      <c r="X6" s="2"/>
      <c r="Y6" s="2">
        <f t="shared" si="6"/>
        <v>0</v>
      </c>
      <c r="AB6" s="2">
        <f t="shared" si="3"/>
        <v>4</v>
      </c>
      <c r="AC6" s="2" t="s">
        <v>110</v>
      </c>
      <c r="AD6" s="2">
        <v>0</v>
      </c>
      <c r="AE6" s="2"/>
      <c r="AF6" s="2"/>
      <c r="AG6" s="2"/>
      <c r="AH6" s="2">
        <f t="shared" si="7"/>
        <v>0</v>
      </c>
    </row>
    <row r="9" spans="1:34" x14ac:dyDescent="0.3">
      <c r="B9" s="1" t="s">
        <v>11</v>
      </c>
      <c r="K9" s="1" t="s">
        <v>12</v>
      </c>
      <c r="T9" s="1" t="s">
        <v>13</v>
      </c>
      <c r="AC9" s="1" t="s">
        <v>14</v>
      </c>
    </row>
    <row r="10" spans="1:34" x14ac:dyDescent="0.3">
      <c r="A10" s="2"/>
      <c r="B10" s="2" t="s">
        <v>0</v>
      </c>
      <c r="C10" s="2" t="s">
        <v>5</v>
      </c>
      <c r="D10" s="2" t="s">
        <v>2</v>
      </c>
      <c r="E10" s="2" t="s">
        <v>3</v>
      </c>
      <c r="F10" s="2" t="s">
        <v>4</v>
      </c>
      <c r="G10" s="2" t="s">
        <v>1</v>
      </c>
      <c r="J10" s="2"/>
      <c r="K10" s="2" t="s">
        <v>0</v>
      </c>
      <c r="L10" s="2" t="s">
        <v>5</v>
      </c>
      <c r="M10" s="2" t="s">
        <v>2</v>
      </c>
      <c r="N10" s="2" t="s">
        <v>3</v>
      </c>
      <c r="O10" s="2" t="s">
        <v>4</v>
      </c>
      <c r="P10" s="2" t="s">
        <v>1</v>
      </c>
      <c r="S10" s="2"/>
      <c r="T10" s="2" t="s">
        <v>0</v>
      </c>
      <c r="U10" s="2" t="s">
        <v>5</v>
      </c>
      <c r="V10" s="2" t="s">
        <v>2</v>
      </c>
      <c r="W10" s="2" t="s">
        <v>3</v>
      </c>
      <c r="X10" s="2" t="s">
        <v>4</v>
      </c>
      <c r="Y10" s="2" t="s">
        <v>1</v>
      </c>
      <c r="AB10" s="2"/>
      <c r="AC10" s="2" t="s">
        <v>0</v>
      </c>
      <c r="AD10" s="2" t="s">
        <v>5</v>
      </c>
      <c r="AE10" s="2" t="s">
        <v>2</v>
      </c>
      <c r="AF10" s="2" t="s">
        <v>3</v>
      </c>
      <c r="AG10" s="2" t="s">
        <v>4</v>
      </c>
      <c r="AH10" s="2" t="s">
        <v>1</v>
      </c>
    </row>
    <row r="11" spans="1:34" x14ac:dyDescent="0.3">
      <c r="A11" s="2">
        <f t="shared" ref="A11:A14" si="8">A10+1</f>
        <v>1</v>
      </c>
      <c r="B11" s="2" t="s">
        <v>105</v>
      </c>
      <c r="C11" s="2">
        <v>0</v>
      </c>
      <c r="D11" s="2"/>
      <c r="E11" s="2"/>
      <c r="F11" s="2"/>
      <c r="G11" s="2">
        <f>D11*3+E11</f>
        <v>0</v>
      </c>
      <c r="J11" s="2">
        <f t="shared" ref="J11:J14" si="9">J10+1</f>
        <v>1</v>
      </c>
      <c r="K11" s="2" t="s">
        <v>101</v>
      </c>
      <c r="L11" s="2">
        <v>0</v>
      </c>
      <c r="M11" s="2"/>
      <c r="N11" s="2"/>
      <c r="O11" s="2"/>
      <c r="P11" s="2">
        <f>M11*3+N11</f>
        <v>0</v>
      </c>
      <c r="S11" s="2">
        <f t="shared" ref="S11:S14" si="10">S10+1</f>
        <v>1</v>
      </c>
      <c r="T11" s="2" t="s">
        <v>100</v>
      </c>
      <c r="U11" s="2">
        <v>0</v>
      </c>
      <c r="V11" s="2"/>
      <c r="W11" s="2"/>
      <c r="X11" s="2"/>
      <c r="Y11" s="2">
        <f>V11*3+W11</f>
        <v>0</v>
      </c>
      <c r="AB11" s="2">
        <f t="shared" ref="AB11:AB14" si="11">AB10+1</f>
        <v>1</v>
      </c>
      <c r="AC11" s="2" t="s">
        <v>98</v>
      </c>
      <c r="AD11" s="2">
        <v>0</v>
      </c>
      <c r="AE11" s="2"/>
      <c r="AF11" s="2"/>
      <c r="AG11" s="2"/>
      <c r="AH11" s="2">
        <f>AE11*3+AF11</f>
        <v>0</v>
      </c>
    </row>
    <row r="12" spans="1:34" x14ac:dyDescent="0.3">
      <c r="A12" s="2">
        <f t="shared" si="8"/>
        <v>2</v>
      </c>
      <c r="B12" s="2" t="s">
        <v>86</v>
      </c>
      <c r="C12" s="2">
        <v>0</v>
      </c>
      <c r="D12" s="2"/>
      <c r="E12" s="2"/>
      <c r="F12" s="2"/>
      <c r="G12" s="2">
        <f t="shared" ref="G12:G14" si="12">D12*3+E12</f>
        <v>0</v>
      </c>
      <c r="J12" s="2">
        <f t="shared" si="9"/>
        <v>2</v>
      </c>
      <c r="K12" s="2" t="s">
        <v>215</v>
      </c>
      <c r="L12" s="2">
        <v>0</v>
      </c>
      <c r="M12" s="2"/>
      <c r="N12" s="2"/>
      <c r="O12" s="2"/>
      <c r="P12" s="2">
        <f t="shared" ref="P12:P14" si="13">M12*3+N12</f>
        <v>0</v>
      </c>
      <c r="S12" s="2">
        <f t="shared" si="10"/>
        <v>2</v>
      </c>
      <c r="T12" s="2" t="s">
        <v>153</v>
      </c>
      <c r="U12" s="2">
        <v>0</v>
      </c>
      <c r="V12" s="2"/>
      <c r="W12" s="2"/>
      <c r="X12" s="2"/>
      <c r="Y12" s="2">
        <f t="shared" ref="Y12:Y14" si="14">V12*3+W12</f>
        <v>0</v>
      </c>
      <c r="AB12" s="2">
        <f t="shared" si="11"/>
        <v>2</v>
      </c>
      <c r="AC12" s="2" t="s">
        <v>162</v>
      </c>
      <c r="AD12" s="2">
        <v>0</v>
      </c>
      <c r="AE12" s="2"/>
      <c r="AF12" s="2"/>
      <c r="AG12" s="2"/>
      <c r="AH12" s="2">
        <f t="shared" ref="AH12:AH14" si="15">AE12*3+AF12</f>
        <v>0</v>
      </c>
    </row>
    <row r="13" spans="1:34" x14ac:dyDescent="0.3">
      <c r="A13" s="2">
        <f t="shared" si="8"/>
        <v>3</v>
      </c>
      <c r="B13" s="2" t="s">
        <v>303</v>
      </c>
      <c r="C13" s="2">
        <v>0</v>
      </c>
      <c r="D13" s="2"/>
      <c r="E13" s="2"/>
      <c r="F13" s="2"/>
      <c r="G13" s="2">
        <f t="shared" si="12"/>
        <v>0</v>
      </c>
      <c r="J13" s="2">
        <f t="shared" si="9"/>
        <v>3</v>
      </c>
      <c r="K13" s="2" t="s">
        <v>111</v>
      </c>
      <c r="L13" s="2">
        <v>0</v>
      </c>
      <c r="M13" s="2"/>
      <c r="N13" s="2"/>
      <c r="O13" s="2"/>
      <c r="P13" s="2">
        <f t="shared" si="13"/>
        <v>0</v>
      </c>
      <c r="S13" s="2">
        <f t="shared" si="10"/>
        <v>3</v>
      </c>
      <c r="T13" s="2" t="s">
        <v>203</v>
      </c>
      <c r="U13" s="2">
        <v>0</v>
      </c>
      <c r="V13" s="2"/>
      <c r="W13" s="2"/>
      <c r="X13" s="2"/>
      <c r="Y13" s="2">
        <f t="shared" si="14"/>
        <v>0</v>
      </c>
      <c r="AB13" s="2">
        <f t="shared" si="11"/>
        <v>3</v>
      </c>
      <c r="AC13" s="2" t="s">
        <v>217</v>
      </c>
      <c r="AD13" s="2">
        <v>0</v>
      </c>
      <c r="AE13" s="2"/>
      <c r="AF13" s="2"/>
      <c r="AG13" s="2"/>
      <c r="AH13" s="2">
        <f t="shared" si="15"/>
        <v>0</v>
      </c>
    </row>
    <row r="14" spans="1:34" x14ac:dyDescent="0.3">
      <c r="A14" s="2">
        <f t="shared" si="8"/>
        <v>4</v>
      </c>
      <c r="B14" s="2" t="s">
        <v>91</v>
      </c>
      <c r="C14" s="2">
        <v>0</v>
      </c>
      <c r="D14" s="2"/>
      <c r="E14" s="2"/>
      <c r="F14" s="2"/>
      <c r="G14" s="2">
        <f t="shared" si="12"/>
        <v>0</v>
      </c>
      <c r="J14" s="2">
        <f t="shared" si="9"/>
        <v>4</v>
      </c>
      <c r="K14" s="2" t="s">
        <v>155</v>
      </c>
      <c r="L14" s="2">
        <v>0</v>
      </c>
      <c r="M14" s="2"/>
      <c r="N14" s="2"/>
      <c r="O14" s="2"/>
      <c r="P14" s="2">
        <f t="shared" si="13"/>
        <v>0</v>
      </c>
      <c r="S14" s="2">
        <f t="shared" si="10"/>
        <v>4</v>
      </c>
      <c r="T14" s="2" t="s">
        <v>224</v>
      </c>
      <c r="U14" s="2">
        <v>0</v>
      </c>
      <c r="V14" s="2"/>
      <c r="W14" s="2"/>
      <c r="X14" s="2"/>
      <c r="Y14" s="2">
        <f t="shared" si="14"/>
        <v>0</v>
      </c>
      <c r="AB14" s="2">
        <f t="shared" si="11"/>
        <v>4</v>
      </c>
      <c r="AC14" s="2" t="s">
        <v>89</v>
      </c>
      <c r="AD14" s="2">
        <v>0</v>
      </c>
      <c r="AE14" s="2"/>
      <c r="AF14" s="2"/>
      <c r="AG14" s="2"/>
      <c r="AH14" s="2">
        <f t="shared" si="15"/>
        <v>0</v>
      </c>
    </row>
    <row r="18" spans="1:34" x14ac:dyDescent="0.3">
      <c r="B18" s="1" t="s">
        <v>15</v>
      </c>
      <c r="K18" s="1" t="s">
        <v>16</v>
      </c>
      <c r="T18" s="1" t="s">
        <v>17</v>
      </c>
      <c r="AC18" s="1" t="s">
        <v>18</v>
      </c>
    </row>
    <row r="19" spans="1:34" x14ac:dyDescent="0.3">
      <c r="A19" s="2"/>
      <c r="B19" s="2" t="s">
        <v>0</v>
      </c>
      <c r="C19" s="2" t="s">
        <v>5</v>
      </c>
      <c r="D19" s="2" t="s">
        <v>2</v>
      </c>
      <c r="E19" s="2" t="s">
        <v>3</v>
      </c>
      <c r="F19" s="2" t="s">
        <v>4</v>
      </c>
      <c r="G19" s="2" t="s">
        <v>1</v>
      </c>
      <c r="J19" s="2"/>
      <c r="K19" s="2" t="s">
        <v>0</v>
      </c>
      <c r="L19" s="2" t="s">
        <v>5</v>
      </c>
      <c r="M19" s="2" t="s">
        <v>2</v>
      </c>
      <c r="N19" s="2" t="s">
        <v>3</v>
      </c>
      <c r="O19" s="2" t="s">
        <v>4</v>
      </c>
      <c r="P19" s="2" t="s">
        <v>1</v>
      </c>
      <c r="S19" s="2"/>
      <c r="T19" s="2" t="s">
        <v>0</v>
      </c>
      <c r="U19" s="2" t="s">
        <v>5</v>
      </c>
      <c r="V19" s="2" t="s">
        <v>2</v>
      </c>
      <c r="W19" s="2" t="s">
        <v>3</v>
      </c>
      <c r="X19" s="2" t="s">
        <v>4</v>
      </c>
      <c r="Y19" s="2" t="s">
        <v>1</v>
      </c>
      <c r="AB19" s="2"/>
      <c r="AC19" s="2" t="s">
        <v>0</v>
      </c>
      <c r="AD19" s="2" t="s">
        <v>5</v>
      </c>
      <c r="AE19" s="2" t="s">
        <v>2</v>
      </c>
      <c r="AF19" s="2" t="s">
        <v>3</v>
      </c>
      <c r="AG19" s="2" t="s">
        <v>4</v>
      </c>
      <c r="AH19" s="2" t="s">
        <v>1</v>
      </c>
    </row>
    <row r="20" spans="1:34" x14ac:dyDescent="0.3">
      <c r="A20" s="2">
        <f t="shared" ref="A20:A23" si="16">A19+1</f>
        <v>1</v>
      </c>
      <c r="B20" s="2" t="s">
        <v>97</v>
      </c>
      <c r="C20" s="2">
        <v>0</v>
      </c>
      <c r="D20" s="2"/>
      <c r="E20" s="2"/>
      <c r="F20" s="2"/>
      <c r="G20" s="2">
        <f>D20*3+E20</f>
        <v>0</v>
      </c>
      <c r="J20" s="2">
        <f t="shared" ref="J20:J23" si="17">J19+1</f>
        <v>1</v>
      </c>
      <c r="K20" s="2" t="s">
        <v>87</v>
      </c>
      <c r="L20" s="2">
        <v>0</v>
      </c>
      <c r="M20" s="2"/>
      <c r="N20" s="2"/>
      <c r="O20" s="2"/>
      <c r="P20" s="2">
        <f>M20*3+N20</f>
        <v>0</v>
      </c>
      <c r="S20" s="2">
        <f t="shared" ref="S20:S23" si="18">S19+1</f>
        <v>1</v>
      </c>
      <c r="T20" s="2" t="s">
        <v>102</v>
      </c>
      <c r="U20" s="2">
        <v>0</v>
      </c>
      <c r="V20" s="2"/>
      <c r="W20" s="2"/>
      <c r="X20" s="2"/>
      <c r="Y20" s="2">
        <f>V20*3+W20</f>
        <v>0</v>
      </c>
      <c r="AB20" s="2">
        <f t="shared" ref="AB20:AB23" si="19">AB19+1</f>
        <v>1</v>
      </c>
      <c r="AC20" s="2" t="s">
        <v>99</v>
      </c>
      <c r="AD20" s="2">
        <v>0</v>
      </c>
      <c r="AE20" s="2"/>
      <c r="AF20" s="2"/>
      <c r="AG20" s="2"/>
      <c r="AH20" s="2">
        <f>AE20*3+AF20</f>
        <v>0</v>
      </c>
    </row>
    <row r="21" spans="1:34" x14ac:dyDescent="0.3">
      <c r="A21" s="2">
        <f t="shared" si="16"/>
        <v>2</v>
      </c>
      <c r="B21" s="2" t="s">
        <v>152</v>
      </c>
      <c r="C21" s="2">
        <v>0</v>
      </c>
      <c r="D21" s="2"/>
      <c r="E21" s="2"/>
      <c r="F21" s="2"/>
      <c r="G21" s="2">
        <f t="shared" ref="G21:G23" si="20">D21*3+E21</f>
        <v>0</v>
      </c>
      <c r="J21" s="2">
        <f t="shared" si="17"/>
        <v>2</v>
      </c>
      <c r="K21" s="2" t="s">
        <v>157</v>
      </c>
      <c r="L21" s="2">
        <v>0</v>
      </c>
      <c r="M21" s="2"/>
      <c r="N21" s="2"/>
      <c r="O21" s="2"/>
      <c r="P21" s="2">
        <f t="shared" ref="P21:P23" si="21">M21*3+N21</f>
        <v>0</v>
      </c>
      <c r="S21" s="2">
        <f t="shared" si="18"/>
        <v>2</v>
      </c>
      <c r="T21" s="2" t="s">
        <v>254</v>
      </c>
      <c r="U21" s="2">
        <v>0</v>
      </c>
      <c r="V21" s="2"/>
      <c r="W21" s="2"/>
      <c r="X21" s="2"/>
      <c r="Y21" s="2">
        <f t="shared" ref="Y21:Y23" si="22">V21*3+W21</f>
        <v>0</v>
      </c>
      <c r="AB21" s="2">
        <f t="shared" si="19"/>
        <v>2</v>
      </c>
      <c r="AC21" s="2" t="s">
        <v>104</v>
      </c>
      <c r="AD21" s="2">
        <v>0</v>
      </c>
      <c r="AE21" s="2"/>
      <c r="AF21" s="2"/>
      <c r="AG21" s="2"/>
      <c r="AH21" s="2">
        <f t="shared" ref="AH21:AH23" si="23">AE21*3+AF21</f>
        <v>0</v>
      </c>
    </row>
    <row r="22" spans="1:34" x14ac:dyDescent="0.3">
      <c r="A22" s="2">
        <f t="shared" si="16"/>
        <v>3</v>
      </c>
      <c r="B22" s="2" t="s">
        <v>211</v>
      </c>
      <c r="C22" s="2">
        <v>0</v>
      </c>
      <c r="D22" s="2"/>
      <c r="E22" s="2"/>
      <c r="F22" s="2"/>
      <c r="G22" s="2">
        <f t="shared" si="20"/>
        <v>0</v>
      </c>
      <c r="J22" s="2">
        <f t="shared" si="17"/>
        <v>3</v>
      </c>
      <c r="K22" s="2" t="s">
        <v>108</v>
      </c>
      <c r="L22" s="2">
        <v>0</v>
      </c>
      <c r="M22" s="2"/>
      <c r="N22" s="2"/>
      <c r="O22" s="2"/>
      <c r="P22" s="2">
        <f t="shared" si="21"/>
        <v>0</v>
      </c>
      <c r="S22" s="2">
        <f t="shared" si="18"/>
        <v>3</v>
      </c>
      <c r="T22" s="2" t="s">
        <v>204</v>
      </c>
      <c r="U22" s="2">
        <v>0</v>
      </c>
      <c r="V22" s="2"/>
      <c r="W22" s="2"/>
      <c r="X22" s="2"/>
      <c r="Y22" s="2">
        <f t="shared" si="22"/>
        <v>0</v>
      </c>
      <c r="AB22" s="2">
        <f t="shared" si="19"/>
        <v>3</v>
      </c>
      <c r="AC22" s="2" t="s">
        <v>67</v>
      </c>
      <c r="AD22" s="2">
        <v>0</v>
      </c>
      <c r="AE22" s="2"/>
      <c r="AF22" s="2"/>
      <c r="AG22" s="2"/>
      <c r="AH22" s="2">
        <f t="shared" si="23"/>
        <v>0</v>
      </c>
    </row>
    <row r="23" spans="1:34" x14ac:dyDescent="0.3">
      <c r="A23" s="2">
        <f t="shared" si="16"/>
        <v>4</v>
      </c>
      <c r="B23" s="2" t="s">
        <v>120</v>
      </c>
      <c r="C23" s="2">
        <v>0</v>
      </c>
      <c r="D23" s="2"/>
      <c r="E23" s="2"/>
      <c r="F23" s="2"/>
      <c r="G23" s="2">
        <f t="shared" si="20"/>
        <v>0</v>
      </c>
      <c r="J23" s="2">
        <f t="shared" si="17"/>
        <v>4</v>
      </c>
      <c r="K23" s="2" t="s">
        <v>210</v>
      </c>
      <c r="L23" s="2">
        <v>0</v>
      </c>
      <c r="M23" s="2"/>
      <c r="N23" s="2"/>
      <c r="O23" s="2"/>
      <c r="P23" s="2">
        <f t="shared" si="21"/>
        <v>0</v>
      </c>
      <c r="S23" s="2">
        <f t="shared" si="18"/>
        <v>4</v>
      </c>
      <c r="T23" s="2" t="s">
        <v>304</v>
      </c>
      <c r="U23" s="2">
        <v>0</v>
      </c>
      <c r="V23" s="2"/>
      <c r="W23" s="2"/>
      <c r="X23" s="2"/>
      <c r="Y23" s="2">
        <f t="shared" si="22"/>
        <v>0</v>
      </c>
      <c r="AB23" s="2">
        <f t="shared" si="19"/>
        <v>4</v>
      </c>
      <c r="AC23" s="2" t="s">
        <v>163</v>
      </c>
      <c r="AD23" s="2">
        <v>0</v>
      </c>
      <c r="AE23" s="2"/>
      <c r="AF23" s="2"/>
      <c r="AG23" s="2"/>
      <c r="AH23" s="2">
        <f t="shared" si="23"/>
        <v>0</v>
      </c>
    </row>
    <row r="27" spans="1:34" x14ac:dyDescent="0.3">
      <c r="B27" s="1" t="str">
        <f>B$5</f>
        <v>South Korea</v>
      </c>
      <c r="C27" s="1">
        <f>G$5</f>
        <v>0</v>
      </c>
      <c r="D27" s="3" t="str">
        <f>B$1</f>
        <v>Group A</v>
      </c>
      <c r="F27" s="1" t="s">
        <v>259</v>
      </c>
    </row>
    <row r="28" spans="1:34" x14ac:dyDescent="0.3">
      <c r="B28" s="1" t="str">
        <f>K$5</f>
        <v>Qatar</v>
      </c>
      <c r="C28" s="1">
        <f>P$5</f>
        <v>0</v>
      </c>
      <c r="D28" s="3" t="str">
        <f>K$1</f>
        <v>Group B</v>
      </c>
      <c r="F28" s="1" t="s">
        <v>257</v>
      </c>
    </row>
    <row r="29" spans="1:34" x14ac:dyDescent="0.3">
      <c r="B29" s="1" t="str">
        <f>T$5</f>
        <v>Haiti</v>
      </c>
      <c r="C29" s="1">
        <f>Y$5</f>
        <v>0</v>
      </c>
      <c r="D29" s="3" t="str">
        <f>T$1</f>
        <v>Group C</v>
      </c>
      <c r="F29" s="1" t="s">
        <v>259</v>
      </c>
    </row>
    <row r="30" spans="1:34" x14ac:dyDescent="0.3">
      <c r="B30" s="1" t="str">
        <f>AC$5</f>
        <v>Australia</v>
      </c>
      <c r="C30" s="1">
        <f>AH$5</f>
        <v>0</v>
      </c>
      <c r="D30" s="3" t="str">
        <f>AC$1</f>
        <v>Group D</v>
      </c>
      <c r="F30" s="1" t="s">
        <v>258</v>
      </c>
    </row>
    <row r="31" spans="1:34" x14ac:dyDescent="0.3">
      <c r="B31" s="1" t="str">
        <f>B$13</f>
        <v>Ivory Coast</v>
      </c>
      <c r="C31" s="1">
        <f>G$13</f>
        <v>0</v>
      </c>
      <c r="D31" s="3" t="str">
        <f>B$9</f>
        <v>Group E</v>
      </c>
      <c r="F31" s="1" t="s">
        <v>259</v>
      </c>
    </row>
    <row r="32" spans="1:34" x14ac:dyDescent="0.3">
      <c r="B32" s="1" t="str">
        <f>K$13</f>
        <v>Sweden</v>
      </c>
      <c r="C32" s="1">
        <f>P$13</f>
        <v>0</v>
      </c>
      <c r="D32" s="3" t="str">
        <f>K$9</f>
        <v>Group F</v>
      </c>
      <c r="F32" s="1" t="s">
        <v>259</v>
      </c>
    </row>
    <row r="33" spans="2:6" x14ac:dyDescent="0.3">
      <c r="B33" s="1" t="str">
        <f>T$13</f>
        <v>Iran</v>
      </c>
      <c r="C33" s="1">
        <f>Y$13</f>
        <v>0</v>
      </c>
      <c r="D33" s="3" t="str">
        <f>T$9</f>
        <v>Group G</v>
      </c>
      <c r="F33" s="1" t="s">
        <v>258</v>
      </c>
    </row>
    <row r="34" spans="2:6" x14ac:dyDescent="0.3">
      <c r="B34" s="1" t="str">
        <f>AC$13</f>
        <v>Saudi Arabia</v>
      </c>
      <c r="C34" s="1">
        <f>AH$13</f>
        <v>0</v>
      </c>
      <c r="D34" s="3" t="str">
        <f>AC$9</f>
        <v>Group H</v>
      </c>
      <c r="F34" s="5" t="s">
        <v>258</v>
      </c>
    </row>
    <row r="35" spans="2:6" x14ac:dyDescent="0.3">
      <c r="B35" s="9" t="str">
        <f>B$22</f>
        <v>Iraq</v>
      </c>
      <c r="C35" s="9">
        <f>G$22</f>
        <v>0</v>
      </c>
      <c r="D35" s="12" t="str">
        <f>B$18</f>
        <v>Group I</v>
      </c>
      <c r="E35" s="9"/>
      <c r="F35" s="1" t="s">
        <v>259</v>
      </c>
    </row>
    <row r="36" spans="2:6" x14ac:dyDescent="0.3">
      <c r="B36" s="1" t="str">
        <f>K$22</f>
        <v>Austria</v>
      </c>
      <c r="C36" s="1">
        <f>P$22</f>
        <v>0</v>
      </c>
      <c r="D36" s="3" t="str">
        <f>K$18</f>
        <v>Group J</v>
      </c>
      <c r="F36" s="1" t="s">
        <v>258</v>
      </c>
    </row>
    <row r="37" spans="2:6" x14ac:dyDescent="0.3">
      <c r="B37" s="1" t="str">
        <f>T$22</f>
        <v>Uzbekistan</v>
      </c>
      <c r="C37" s="1">
        <f>Y$22</f>
        <v>0</v>
      </c>
      <c r="D37" s="3" t="str">
        <f>T$18</f>
        <v>Group K</v>
      </c>
      <c r="F37" s="1" t="s">
        <v>258</v>
      </c>
    </row>
    <row r="38" spans="2:6" x14ac:dyDescent="0.3">
      <c r="B38" s="1" t="str">
        <f>AC$22</f>
        <v>Panama</v>
      </c>
      <c r="C38" s="1">
        <f>AH$22</f>
        <v>0</v>
      </c>
      <c r="D38" s="3" t="str">
        <f>AC$18</f>
        <v>Group L</v>
      </c>
      <c r="F38" s="1" t="s">
        <v>256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Teams by Confederation</vt:lpstr>
      <vt:lpstr>Teams Qualified Template</vt:lpstr>
      <vt:lpstr>Groups Template</vt:lpstr>
      <vt:lpstr>KO Template</vt:lpstr>
      <vt:lpstr>Teams Qualified Offcial 2026</vt:lpstr>
      <vt:lpstr>Groups Official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Forcier</dc:creator>
  <cp:lastModifiedBy>Samuel Forcier</cp:lastModifiedBy>
  <dcterms:created xsi:type="dcterms:W3CDTF">2024-10-19T16:56:12Z</dcterms:created>
  <dcterms:modified xsi:type="dcterms:W3CDTF">2026-07-05T18:33:04Z</dcterms:modified>
</cp:coreProperties>
</file>